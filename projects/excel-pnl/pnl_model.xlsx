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Допущения" sheetId="2" state="visible" r:id="rId4"/>
    <sheet name="Товары" sheetId="3" state="visible" r:id="rId5"/>
    <sheet name="Юнит-экономика" sheetId="4" state="visible" r:id="rId6"/>
    <sheet name="P&amp;L" sheetId="5" state="visible" r:id="rId7"/>
    <sheet name="Чувствительность" sheetId="6" state="visible" r:id="rId8"/>
  </sheets>
  <definedNames>
    <definedName function="false" hidden="true" localSheetId="3" name="_xlnm._FilterDatabase" vbProcedure="false">'Юнит-экономика'!$A$4:$W$40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Для сайта — эквайринг. Логистика сайта — курьер/СДЭК за счёт магазина.</t>
        </r>
      </text>
    </comment>
    <comment ref="C12" authorId="0">
      <text>
        <r>
          <rPr>
            <sz val="10"/>
            <rFont val="Arial"/>
            <family val="2"/>
          </rPr>
          <t xml:space="preserve">ФОТ 2 сотрудников, аренда склада, сервисы аналитики, бухгалтерия.</t>
        </r>
      </text>
    </comment>
    <comment ref="F6" authorId="0">
      <text>
        <r>
          <rPr>
            <sz val="10"/>
            <rFont val="Arial"/>
            <family val="2"/>
          </rPr>
          <t xml:space="preserve">Доля заказов, которые покупатель выкупил. Невыкупленный товар едет обратно за счёт продавца.</t>
        </r>
      </text>
    </comment>
  </commentList>
</comments>
</file>

<file path=xl/sharedStrings.xml><?xml version="1.0" encoding="utf-8"?>
<sst xmlns="http://schemas.openxmlformats.org/spreadsheetml/2006/main" count="268" uniqueCount="156">
  <si>
    <t xml:space="preserve">P&amp;L магазина товаров для дома на маркетплейсах — модель на 2027 год</t>
  </si>
  <si>
    <t xml:space="preserve">Зачем</t>
  </si>
  <si>
    <t xml:space="preserve">Собственник спрашивает: сколько мы заработаем за год, какие товары и каналы убыточны и что будет, если поднять цену или урезать рекламу.</t>
  </si>
  <si>
    <t xml:space="preserve">Как устроено</t>
  </si>
  <si>
    <t xml:space="preserve">1. «Допущения» — комиссии, логистика, выкуп, ДРР по каналам, налог, постоянные расходы, сезонность и сценарии.</t>
  </si>
  <si>
    <t xml:space="preserve">2. «Товары» — ассортимент: цена, себестоимость, план заказов в месяц и распределение по каналам.</t>
  </si>
  <si>
    <t xml:space="preserve">3. «Юнит-экономика» — прибыль с одной проданной единицы по каждому товару в каждом канале и предельный ДРР.</t>
  </si>
  <si>
    <t xml:space="preserve">4. «P&amp;L» — помесячный отчёт о прибылях и убытках с учётом сезонности и роста, итоги по каналам и категориям, график.</t>
  </si>
  <si>
    <t xml:space="preserve">5. «Чувствительность» — годовая операционная прибыль при разной цене и доле рекламы (таблица «что, если»).</t>
  </si>
  <si>
    <t xml:space="preserve">Обозначения</t>
  </si>
  <si>
    <t xml:space="preserve">Синий шрифт — вводимые значения, их можно менять.   Чёрный — формулы, не трогать.   Зелёный — ссылка на другой лист.</t>
  </si>
  <si>
    <t xml:space="preserve">Жёлтая заливка — ключевые допущения и переключатель сценария (лист «Допущения», ячейка C22).</t>
  </si>
  <si>
    <t xml:space="preserve">Попробуйте</t>
  </si>
  <si>
    <t xml:space="preserve">• Переключите сценарий на «Пессимистичный» и посмотрите, сколько месяцев модель уходит в минус.</t>
  </si>
  <si>
    <t xml:space="preserve">• Поднимите ДРР Wildberries до 20% и найдите товары, которые стали убыточными (красные строки на «Юнит-экономике»).</t>
  </si>
  <si>
    <t xml:space="preserve">• Посмотрите на «Чувствительности», что сильнее влияет на прибыль: +5% к цене или −5 п.п. рекламы.</t>
  </si>
  <si>
    <t xml:space="preserve">Ограничения</t>
  </si>
  <si>
    <t xml:space="preserve">Данные демонстрационные. Спрос не зависит от цены (эластичность не моделируется). Логистика — средняя за единицу, без учёта габаритов и складов.</t>
  </si>
  <si>
    <t xml:space="preserve">Допущения</t>
  </si>
  <si>
    <t xml:space="preserve">Синие ячейки можно менять. Источник цифр по умолчанию — типичные тарифы и показатели продавца товаров для дома (демонстрационные).</t>
  </si>
  <si>
    <t xml:space="preserve">Канал</t>
  </si>
  <si>
    <t xml:space="preserve">Комиссия, % от цены</t>
  </si>
  <si>
    <t xml:space="preserve">Логистика до покупателя, ₽/шт</t>
  </si>
  <si>
    <t xml:space="preserve">Обратная логистика, ₽/шт</t>
  </si>
  <si>
    <t xml:space="preserve">Выкуп, %</t>
  </si>
  <si>
    <t xml:space="preserve">ДРР, % от цены</t>
  </si>
  <si>
    <t xml:space="preserve">Хранение, ₽/шт</t>
  </si>
  <si>
    <t xml:space="preserve">Wildberries</t>
  </si>
  <si>
    <t xml:space="preserve">Ozon</t>
  </si>
  <si>
    <t xml:space="preserve">Сайт</t>
  </si>
  <si>
    <t xml:space="preserve">Налог (УСН «доходы»), % от выручки</t>
  </si>
  <si>
    <t xml:space="preserve">Постоянные расходы, ₽ в месяц</t>
  </si>
  <si>
    <t xml:space="preserve">Рост продаж, % в месяц</t>
  </si>
  <si>
    <t xml:space="preserve">Сценарий</t>
  </si>
  <si>
    <t xml:space="preserve">Изменение цены</t>
  </si>
  <si>
    <t xml:space="preserve">Множитель ДРР</t>
  </si>
  <si>
    <t xml:space="preserve">Изменение выкупа, п.п.</t>
  </si>
  <si>
    <t xml:space="preserve">Изменение спроса</t>
  </si>
  <si>
    <t xml:space="preserve">Базовый</t>
  </si>
  <si>
    <t xml:space="preserve">Оптимистичный</t>
  </si>
  <si>
    <t xml:space="preserve">Пессимистичный</t>
  </si>
  <si>
    <t xml:space="preserve">Выбранный сценарий  ▸</t>
  </si>
  <si>
    <t xml:space="preserve">  Изменение цены</t>
  </si>
  <si>
    <t xml:space="preserve">  Множитель ДРР</t>
  </si>
  <si>
    <t xml:space="preserve">  Изменение выкупа, п.п.</t>
  </si>
  <si>
    <t xml:space="preserve">  Изменение спроса</t>
  </si>
  <si>
    <t xml:space="preserve">Сезонность (индекс месяца, 1,00 = средний месяц)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</si>
  <si>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</si>
  <si>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</si>
  <si>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</si>
  <si>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</si>
  <si>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</si>
  <si>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</si>
  <si>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</si>
  <si>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</si>
  <si>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</si>
  <si>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</si>
  <si>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</si>
  <si>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</si>
  <si>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Индекс</t>
  </si>
  <si>
    <t xml:space="preserve">Проверка: среднее индексов</t>
  </si>
  <si>
    <t xml:space="preserve">Ассортимент и план заказов</t>
  </si>
  <si>
    <t xml:space="preserve">Заказы — до выкупа. Доля сайта считается как остаток. Цены и себестоимость демонстрационные.</t>
  </si>
  <si>
    <t xml:space="preserve">SKU</t>
  </si>
  <si>
    <t xml:space="preserve">Товар</t>
  </si>
  <si>
    <t xml:space="preserve">Категория</t>
  </si>
  <si>
    <t xml:space="preserve">Цена, ₽</t>
  </si>
  <si>
    <t xml:space="preserve">Себестоимость, ₽</t>
  </si>
  <si>
    <t xml:space="preserve">Заказов в месяц, шт</t>
  </si>
  <si>
    <t xml:space="preserve">Доля WB</t>
  </si>
  <si>
    <t xml:space="preserve">Доля Ozon</t>
  </si>
  <si>
    <t xml:space="preserve">Доля сайта</t>
  </si>
  <si>
    <t xml:space="preserve">DU-0001</t>
  </si>
  <si>
    <t xml:space="preserve">Плед вязаный</t>
  </si>
  <si>
    <t xml:space="preserve">Текстиль</t>
  </si>
  <si>
    <t xml:space="preserve">DU-0002</t>
  </si>
  <si>
    <t xml:space="preserve">Комплект постельного белья</t>
  </si>
  <si>
    <t xml:space="preserve">DU-0003</t>
  </si>
  <si>
    <t xml:space="preserve">Полотенце махровое</t>
  </si>
  <si>
    <t xml:space="preserve">DU-0004</t>
  </si>
  <si>
    <t xml:space="preserve">Кружка керамическая</t>
  </si>
  <si>
    <t xml:space="preserve">Посуда</t>
  </si>
  <si>
    <t xml:space="preserve">DU-0005</t>
  </si>
  <si>
    <t xml:space="preserve">Набор тарелок</t>
  </si>
  <si>
    <t xml:space="preserve">DU-0006</t>
  </si>
  <si>
    <t xml:space="preserve">Френч-пресс</t>
  </si>
  <si>
    <t xml:space="preserve">DU-0007</t>
  </si>
  <si>
    <t xml:space="preserve">Органайзер для ящика</t>
  </si>
  <si>
    <t xml:space="preserve">Хранение</t>
  </si>
  <si>
    <t xml:space="preserve">DU-0008</t>
  </si>
  <si>
    <t xml:space="preserve">Корзина плетёная</t>
  </si>
  <si>
    <t xml:space="preserve">DU-0009</t>
  </si>
  <si>
    <t xml:space="preserve">Свеча ароматическая</t>
  </si>
  <si>
    <t xml:space="preserve">Декор</t>
  </si>
  <si>
    <t xml:space="preserve">DU-0010</t>
  </si>
  <si>
    <t xml:space="preserve">Ваза стеклянная</t>
  </si>
  <si>
    <t xml:space="preserve">DU-0011</t>
  </si>
  <si>
    <t xml:space="preserve">Коврик для ванной</t>
  </si>
  <si>
    <t xml:space="preserve">Ванная</t>
  </si>
  <si>
    <t xml:space="preserve">DU-0012</t>
  </si>
  <si>
    <t xml:space="preserve">Держатель для щёток</t>
  </si>
  <si>
    <t xml:space="preserve">Итого / средневзвешенно</t>
  </si>
  <si>
    <t xml:space="preserve">Юнит-экономика по товарам и каналам (месяц со средней сезонностью)</t>
  </si>
  <si>
    <t xml:space="preserve">Логистика на 1 выкуп = (логистика до покупателя + обратная × доля невыкупа) / выкуп. Предельный ДРР — доля рекламы, при которой прибыль с единицы = 0. Серые столбцы справа — вспомогательные.</t>
  </si>
  <si>
    <t xml:space="preserve">Себест., ₽</t>
  </si>
  <si>
    <t xml:space="preserve">Комиссия, ₽</t>
  </si>
  <si>
    <t xml:space="preserve">Логистика на 1 выкуп, ₽</t>
  </si>
  <si>
    <t xml:space="preserve">Хранение, ₽</t>
  </si>
  <si>
    <t xml:space="preserve">Реклама, ₽</t>
  </si>
  <si>
    <t xml:space="preserve">Налог, ₽</t>
  </si>
  <si>
    <t xml:space="preserve">Прибыль с 1 шт, ₽</t>
  </si>
  <si>
    <t xml:space="preserve">Маржин-сть, %</t>
  </si>
  <si>
    <t xml:space="preserve">Предельный ДРР, %</t>
  </si>
  <si>
    <t xml:space="preserve">Заказов в мес</t>
  </si>
  <si>
    <t xml:space="preserve">Продаж в мес</t>
  </si>
  <si>
    <t xml:space="preserve">Выручка в мес, ₽</t>
  </si>
  <si>
    <t xml:space="preserve">Прибыль в мес, ₽</t>
  </si>
  <si>
    <t xml:space="preserve">Базовая цена, ₽</t>
  </si>
  <si>
    <t xml:space="preserve">Комиссия, %</t>
  </si>
  <si>
    <t xml:space="preserve">Логистика, ₽/шт</t>
  </si>
  <si>
    <t xml:space="preserve">Обратная, ₽/шт</t>
  </si>
  <si>
    <t xml:space="preserve">Итого в месяц</t>
  </si>
  <si>
    <t xml:space="preserve">Отчёт о прибылях и убытках на 2027 год, ₽</t>
  </si>
  <si>
    <t xml:space="preserve">Статья</t>
  </si>
  <si>
    <t xml:space="preserve">Итого за год</t>
  </si>
  <si>
    <t xml:space="preserve">% выручки</t>
  </si>
  <si>
    <t xml:space="preserve">Индекс сезонности</t>
  </si>
  <si>
    <t xml:space="preserve">Фактор роста</t>
  </si>
  <si>
    <t xml:space="preserve">Выручка</t>
  </si>
  <si>
    <t xml:space="preserve">Себестоимость</t>
  </si>
  <si>
    <t xml:space="preserve">Комиссия площадок</t>
  </si>
  <si>
    <t xml:space="preserve">Логистика и хранение</t>
  </si>
  <si>
    <t xml:space="preserve">Реклама</t>
  </si>
  <si>
    <t xml:space="preserve">Налог</t>
  </si>
  <si>
    <t xml:space="preserve">Маржинальная прибыль</t>
  </si>
  <si>
    <t xml:space="preserve">Постоянные расходы</t>
  </si>
  <si>
    <t xml:space="preserve">Операционная прибыль</t>
  </si>
  <si>
    <t xml:space="preserve">Операционная прибыль нарастающим итогом</t>
  </si>
  <si>
    <t xml:space="preserve">Маржинальность, %</t>
  </si>
  <si>
    <t xml:space="preserve">ДРР, %</t>
  </si>
  <si>
    <t xml:space="preserve">Месяцев с операционным убытком</t>
  </si>
  <si>
    <t xml:space="preserve">Годовой коэффициент (сумма сезонности × рост)</t>
  </si>
  <si>
    <t xml:space="preserve">Итоги за год по каналам</t>
  </si>
  <si>
    <t xml:space="preserve">Выручка, ₽</t>
  </si>
  <si>
    <t xml:space="preserve">Маржин. прибыль, ₽</t>
  </si>
  <si>
    <t xml:space="preserve">Маржин-сть</t>
  </si>
  <si>
    <t xml:space="preserve">Доля выручки</t>
  </si>
  <si>
    <t xml:space="preserve">Проверка: сумма = P&amp;L</t>
  </si>
  <si>
    <t xml:space="preserve">Итоги за год по категориям</t>
  </si>
  <si>
    <t xml:space="preserve">Годовая операционная прибыль: цена × доля рекламы, ₽</t>
  </si>
  <si>
    <t xml:space="preserve">Строки — изменение цены от базовой, столбцы — ДРР во всех каналах. Объёмы продаж — из выбранного сценария, спрос от цены не зависит.</t>
  </si>
  <si>
    <t xml:space="preserve">Цена \ ДРР</t>
  </si>
  <si>
    <t xml:space="preserve">Как читать</t>
  </si>
  <si>
    <t xml:space="preserve">Зелёное — прибыль, красное — убыток. Сравните шаг по строке (+5% цены) и по столбцу (−2 п.п. рекламы): видно, какой рычаг сильнее.</t>
  </si>
  <si>
    <t xml:space="preserve">Прибыль +5% цены при текущем ДРР 12%</t>
  </si>
  <si>
    <t xml:space="preserve">Прибыль при снижении ДРР с 12% до 8%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</si>
</sst>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&quot; ₽&quot;;\(#,##0&quot; ₽)&quot;;\-"/>
    <numFmt numFmtId="167" formatCode="0.00"/>
    <numFmt numFmtId="168" formatCode="#,##0;\(#,##0\);\-"/>
    <numFmt numFmtId="169" formatCode="#,##0"/>
    <numFmt numFmtId="170" formatCode="\+0%;\-0%;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FA6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E8EEF7"/>
        <bgColor rgb="FFF2F2F2"/>
      </patternFill>
    </fill>
    <fill>
      <patternFill patternType="solid">
        <fgColor rgb="FFF2F2F2"/>
        <bgColor rgb="FFE8EEF7"/>
      </patternFill>
    </fill>
    <fill>
      <patternFill patternType="solid">
        <fgColor rgb="FFDDEBDD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C00000"/>
      </font>
    </dxf>
    <dxf>
      <fill>
        <patternFill patternType="solid">
          <fgColor rgb="FF2F5FA6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BE3E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A433F"/>
      <rgbColor rgb="FFF9F9F9"/>
      <rgbColor rgb="FFE8EEF7"/>
      <rgbColor rgb="FF660066"/>
      <rgbColor rgb="FFFF8080"/>
      <rgbColor rgb="FF2F5FA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EBDD"/>
      <rgbColor rgb="FFFFFF99"/>
      <rgbColor rgb="FF99CCFF"/>
      <rgbColor rgb="FFFF99CC"/>
      <rgbColor rgb="FFCC99FF"/>
      <rgbColor rgb="FFFBE3E3"/>
      <rgbColor rgb="FF4F81BD"/>
      <rgbColor rgb="FF33CCCC"/>
      <rgbColor rgb="FF99CC00"/>
      <rgbColor rgb="FFFFCC00"/>
      <rgbColor rgb="FFFF9900"/>
      <rgbColor rgb="FFFF6600"/>
      <rgbColor rgb="FF666666"/>
      <rgbColor rgb="FFCC8F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Операционная прибыль по месяцам,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'P&amp;L'!B16</c:f>
              <c:strCache>
                <c:ptCount val="1"/>
                <c:pt idx="0">
                  <c:v>Операционная прибыль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'P&amp;L'!$C$5:$N$5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'P&amp;L'!$C$16:$N$16</c:f>
              <c:numCache>
                <c:formatCode>#,##0" ₽";\(#,##0" ₽)";\-</c:formatCode>
                <c:ptCount val="12"/>
                <c:pt idx="0">
                  <c:v>59920.5806900002</c:v>
                </c:pt>
                <c:pt idx="1">
                  <c:v>30659.9730731994</c:v>
                </c:pt>
                <c:pt idx="2">
                  <c:v>325920.404360725</c:v>
                </c:pt>
                <c:pt idx="3">
                  <c:v>147341.139538504</c:v>
                </c:pt>
                <c:pt idx="4">
                  <c:v>187264.613537114</c:v>
                </c:pt>
                <c:pt idx="5">
                  <c:v>98468.1534518683</c:v>
                </c:pt>
                <c:pt idx="6">
                  <c:v>137985.406102545</c:v>
                </c:pt>
                <c:pt idx="7">
                  <c:v>313632.382957307</c:v>
                </c:pt>
                <c:pt idx="8">
                  <c:v>419267.710545138</c:v>
                </c:pt>
                <c:pt idx="9">
                  <c:v>419267.710545138</c:v>
                </c:pt>
                <c:pt idx="10">
                  <c:v>657494.940799325</c:v>
                </c:pt>
                <c:pt idx="11">
                  <c:v>1132013.60992163</c:v>
                </c:pt>
              </c:numCache>
            </c:numRef>
          </c:val>
        </c:ser>
        <c:gapWidth val="150"/>
        <c:overlap val="0"/>
        <c:axId val="29800833"/>
        <c:axId val="63040542"/>
      </c:barChart>
      <c:catAx>
        <c:axId val="29800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40542"/>
        <c:crosses val="autoZero"/>
        <c:auto val="1"/>
        <c:lblAlgn val="ctr"/>
        <c:lblOffset val="100"/>
        <c:noMultiLvlLbl val="0"/>
      </c:catAx>
      <c:valAx>
        <c:axId val="6304054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00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и маржинальная прибыль,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'P&amp;L'!B8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'P&amp;L'!$C$5:$N$5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'P&amp;L'!$C$8:$N$8</c:f>
              <c:numCache>
                <c:formatCode>#,##0" ₽";\(#,##0" ₽)";\-</c:formatCode>
                <c:ptCount val="12"/>
                <c:pt idx="0">
                  <c:v>5467420.528</c:v>
                </c:pt>
                <c:pt idx="1">
                  <c:v>5334300.72384</c:v>
                </c:pt>
                <c:pt idx="2">
                  <c:v>6677574.6333888</c:v>
                </c:pt>
                <c:pt idx="3">
                  <c:v>5865136.3863265</c:v>
                </c:pt>
                <c:pt idx="4">
                  <c:v>6046766.41635467</c:v>
                </c:pt>
                <c:pt idx="5">
                  <c:v>5642790.95790034</c:v>
                </c:pt>
                <c:pt idx="6">
                  <c:v>5822572.90237298</c:v>
                </c:pt>
                <c:pt idx="7">
                  <c:v>6621670.83862968</c:v>
                </c:pt>
                <c:pt idx="8">
                  <c:v>7102253.95928899</c:v>
                </c:pt>
                <c:pt idx="9">
                  <c:v>7102253.95928899</c:v>
                </c:pt>
                <c:pt idx="10">
                  <c:v>8186057.91347649</c:v>
                </c:pt>
                <c:pt idx="11">
                  <c:v>10344859.026942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'P&amp;L'!B14</c:f>
              <c:strCache>
                <c:ptCount val="1"/>
                <c:pt idx="0">
                  <c:v>Маржинальная прибыль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'P&amp;L'!$C$5:$N$5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'P&amp;L'!$C$14:$N$14</c:f>
              <c:numCache>
                <c:formatCode>#,##0" ₽";\(#,##0" ₽)";\-</c:formatCode>
                <c:ptCount val="12"/>
                <c:pt idx="0">
                  <c:v>509920.58069</c:v>
                </c:pt>
                <c:pt idx="1">
                  <c:v>480659.973073199</c:v>
                </c:pt>
                <c:pt idx="2">
                  <c:v>775920.404360725</c:v>
                </c:pt>
                <c:pt idx="3">
                  <c:v>597341.139538504</c:v>
                </c:pt>
                <c:pt idx="4">
                  <c:v>637264.613537114</c:v>
                </c:pt>
                <c:pt idx="5">
                  <c:v>548468.153451868</c:v>
                </c:pt>
                <c:pt idx="6">
                  <c:v>587985.406102545</c:v>
                </c:pt>
                <c:pt idx="7">
                  <c:v>763632.382957307</c:v>
                </c:pt>
                <c:pt idx="8">
                  <c:v>869267.710545138</c:v>
                </c:pt>
                <c:pt idx="9">
                  <c:v>869267.710545138</c:v>
                </c:pt>
                <c:pt idx="10">
                  <c:v>1107494.94079932</c:v>
                </c:pt>
                <c:pt idx="11">
                  <c:v>1582013.60992163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136811"/>
        <c:axId val="50146620"/>
      </c:lineChart>
      <c:catAx>
        <c:axId val="72136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46620"/>
        <c:crosses val="autoZero"/>
        <c:auto val="1"/>
        <c:lblAlgn val="ctr"/>
        <c:lblOffset val="100"/>
        <c:noMultiLvlLbl val="0"/>
      </c:catAx>
      <c:valAx>
        <c:axId val="50146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36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22</xdr:row>
      <xdr:rowOff>160560</xdr:rowOff>
    </xdr:from>
    <xdr:to>
      <xdr:col>14</xdr:col>
      <xdr:colOff>559080</xdr:colOff>
      <xdr:row>35</xdr:row>
      <xdr:rowOff>2880</xdr:rowOff>
    </xdr:to>
    <xdr:graphicFrame>
      <xdr:nvGraphicFramePr>
        <xdr:cNvPr id="0" name="Chart 1"/>
        <xdr:cNvGraphicFramePr/>
      </xdr:nvGraphicFramePr>
      <xdr:xfrm>
        <a:off x="6837120" y="4572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38</xdr:row>
      <xdr:rowOff>160560</xdr:rowOff>
    </xdr:from>
    <xdr:to>
      <xdr:col>14</xdr:col>
      <xdr:colOff>559080</xdr:colOff>
      <xdr:row>53</xdr:row>
      <xdr:rowOff>2880</xdr:rowOff>
    </xdr:to>
    <xdr:graphicFrame>
      <xdr:nvGraphicFramePr>
        <xdr:cNvPr id="1" name="Chart 2"/>
        <xdr:cNvGraphicFramePr/>
      </xdr:nvGraphicFramePr>
      <xdr:xfrm>
        <a:off x="6837120" y="800100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2" t="s">
        <v>3</v>
      </c>
    </row>
    <row r="8" customFormat="false" ht="23.8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23.85" hidden="false" customHeight="false" outlineLevel="0" collapsed="false">
      <c r="B10" s="3" t="s">
        <v>6</v>
      </c>
    </row>
    <row r="11" customFormat="false" ht="23.8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2" t="s">
        <v>9</v>
      </c>
    </row>
    <row r="15" customFormat="false" ht="23.8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3" t="s">
        <v>13</v>
      </c>
    </row>
    <row r="20" customFormat="false" ht="23.8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2" t="s">
        <v>16</v>
      </c>
    </row>
    <row r="24" customFormat="false" ht="22.35" hidden="false" customHeight="false" outlineLevel="0" collapsed="false">
      <c r="B2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14" min="9" style="0" width="10"/>
  </cols>
  <sheetData>
    <row r="2" customFormat="false" ht="17.35" hidden="false" customHeight="false" outlineLevel="0" collapsed="false">
      <c r="B2" s="1" t="s">
        <v>18</v>
      </c>
    </row>
    <row r="3" customFormat="false" ht="15" hidden="false" customHeight="false" outlineLevel="0" collapsed="false">
      <c r="B3" s="5" t="s">
        <v>19</v>
      </c>
    </row>
    <row r="5" customFormat="false" ht="30" hidden="false" customHeight="true" outlineLevel="0" collapsed="false"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</row>
    <row r="6" customFormat="false" ht="15" hidden="false" customHeight="false" outlineLevel="0" collapsed="false">
      <c r="B6" s="7" t="s">
        <v>27</v>
      </c>
      <c r="C6" s="8" t="n">
        <v>0.24</v>
      </c>
      <c r="D6" s="9" t="n">
        <v>92</v>
      </c>
      <c r="E6" s="9" t="n">
        <v>50</v>
      </c>
      <c r="F6" s="10" t="n">
        <v>0.78</v>
      </c>
      <c r="G6" s="10" t="n">
        <v>0.12</v>
      </c>
      <c r="H6" s="9" t="n">
        <v>18</v>
      </c>
    </row>
    <row r="7" customFormat="false" ht="15" hidden="false" customHeight="false" outlineLevel="0" collapsed="false">
      <c r="B7" s="7" t="s">
        <v>28</v>
      </c>
      <c r="C7" s="8" t="n">
        <v>0.21</v>
      </c>
      <c r="D7" s="9" t="n">
        <v>85</v>
      </c>
      <c r="E7" s="9" t="n">
        <v>45</v>
      </c>
      <c r="F7" s="10" t="n">
        <v>0.85</v>
      </c>
      <c r="G7" s="10" t="n">
        <v>0.1</v>
      </c>
      <c r="H7" s="9" t="n">
        <v>15</v>
      </c>
    </row>
    <row r="8" customFormat="false" ht="15" hidden="false" customHeight="false" outlineLevel="0" collapsed="false">
      <c r="B8" s="7" t="s">
        <v>29</v>
      </c>
      <c r="C8" s="8" t="n">
        <v>0.035</v>
      </c>
      <c r="D8" s="9" t="n">
        <v>160</v>
      </c>
      <c r="E8" s="9" t="n">
        <v>160</v>
      </c>
      <c r="F8" s="10" t="n">
        <v>0.95</v>
      </c>
      <c r="G8" s="10" t="n">
        <v>0.13</v>
      </c>
      <c r="H8" s="9" t="n">
        <v>0</v>
      </c>
    </row>
    <row r="11" customFormat="false" ht="15" hidden="false" customHeight="false" outlineLevel="0" collapsed="false">
      <c r="B11" s="11" t="s">
        <v>30</v>
      </c>
      <c r="C11" s="8" t="n">
        <v>0.06</v>
      </c>
    </row>
    <row r="12" customFormat="false" ht="15" hidden="false" customHeight="false" outlineLevel="0" collapsed="false">
      <c r="B12" s="11" t="s">
        <v>31</v>
      </c>
      <c r="C12" s="12" t="n">
        <v>450000</v>
      </c>
    </row>
    <row r="13" customFormat="false" ht="15" hidden="false" customHeight="false" outlineLevel="0" collapsed="false">
      <c r="B13" s="11" t="s">
        <v>32</v>
      </c>
      <c r="C13" s="8" t="n">
        <v>0.02</v>
      </c>
    </row>
    <row r="16" customFormat="false" ht="30" hidden="false" customHeight="true" outlineLevel="0" collapsed="false">
      <c r="B16" s="6" t="s">
        <v>33</v>
      </c>
      <c r="C16" s="6" t="s">
        <v>34</v>
      </c>
      <c r="D16" s="6" t="s">
        <v>35</v>
      </c>
      <c r="E16" s="6" t="s">
        <v>36</v>
      </c>
      <c r="F16" s="6" t="s">
        <v>37</v>
      </c>
    </row>
    <row r="17" customFormat="false" ht="15" hidden="false" customHeight="false" outlineLevel="0" collapsed="false">
      <c r="B17" s="7" t="s">
        <v>38</v>
      </c>
      <c r="C17" s="8" t="n">
        <v>0</v>
      </c>
      <c r="D17" s="13" t="n">
        <v>1</v>
      </c>
      <c r="E17" s="8" t="n">
        <v>0</v>
      </c>
      <c r="F17" s="8" t="n">
        <v>0</v>
      </c>
    </row>
    <row r="18" customFormat="false" ht="15" hidden="false" customHeight="false" outlineLevel="0" collapsed="false">
      <c r="B18" s="7" t="s">
        <v>39</v>
      </c>
      <c r="C18" s="8" t="n">
        <v>0.05</v>
      </c>
      <c r="D18" s="13" t="n">
        <v>0.85</v>
      </c>
      <c r="E18" s="8" t="n">
        <v>0.03</v>
      </c>
      <c r="F18" s="8" t="n">
        <v>0.1</v>
      </c>
    </row>
    <row r="19" customFormat="false" ht="15" hidden="false" customHeight="false" outlineLevel="0" collapsed="false">
      <c r="B19" s="7" t="s">
        <v>40</v>
      </c>
      <c r="C19" s="8" t="n">
        <v>-0.05</v>
      </c>
      <c r="D19" s="13" t="n">
        <v>1.3</v>
      </c>
      <c r="E19" s="8" t="n">
        <v>-0.05</v>
      </c>
      <c r="F19" s="8" t="n">
        <v>-0.15</v>
      </c>
    </row>
    <row r="22" customFormat="false" ht="15" hidden="false" customHeight="false" outlineLevel="0" collapsed="false">
      <c r="B22" s="7" t="s">
        <v>41</v>
      </c>
      <c r="C22" s="14" t="s">
        <v>38</v>
      </c>
    </row>
    <row r="23" customFormat="false" ht="15" hidden="false" customHeight="false" outlineLevel="0" collapsed="false">
      <c r="B23" s="11" t="s">
        <v>42</v>
      </c>
      <c r="C23" s="15" t="n">
        <f aca="false">INDEX($C$17:$C$19,MATCH($C$22,$B$17:$B$19,0))</f>
        <v>0</v>
      </c>
    </row>
    <row r="24" customFormat="false" ht="15" hidden="false" customHeight="false" outlineLevel="0" collapsed="false">
      <c r="B24" s="11" t="s">
        <v>43</v>
      </c>
      <c r="C24" s="16" t="n">
        <f aca="false">INDEX($D$17:$D$19,MATCH($C$22,$B$17:$B$19,0))</f>
        <v>1</v>
      </c>
    </row>
    <row r="25" customFormat="false" ht="15" hidden="false" customHeight="false" outlineLevel="0" collapsed="false">
      <c r="B25" s="11" t="s">
        <v>44</v>
      </c>
      <c r="C25" s="15" t="n">
        <f aca="false">INDEX($E$17:$E$19,MATCH($C$22,$B$17:$B$19,0))</f>
        <v>0</v>
      </c>
    </row>
    <row r="26" customFormat="false" ht="15" hidden="false" customHeight="false" outlineLevel="0" collapsed="false">
      <c r="B26" s="11" t="s">
        <v>45</v>
      </c>
      <c r="C26" s="15" t="n">
        <f aca="false">INDEX($F$17:$F$19,MATCH($C$22,$B$17:$B$19,0))</f>
        <v>0</v>
      </c>
    </row>
    <row r="29" customFormat="false" ht="15" hidden="false" customHeight="false" outlineLevel="0" collapsed="false">
      <c r="B29" s="7" t="s">
        <v>46</v>
      </c>
    </row>
    <row r="30" customFormat="false" ht="15" hidden="false" customHeight="false" outlineLevel="0" collapsed="false">
      <c r="C30" s="17" t="s">
        <v>47</v>
      </c>
      <c r="D30" s="17" t="s">
        <v>48</v>
      </c>
      <c r="E30" s="17" t="s">
        <v>49</v>
      </c>
      <c r="F30" s="17" t="s">
        <v>50</v>
      </c>
      <c r="G30" s="17" t="s">
        <v>51</v>
      </c>
      <c r="H30" s="17" t="s">
        <v>52</v>
      </c>
      <c r="I30" s="17" t="s">
        <v>53</v>
      </c>
      <c r="J30" s="17" t="s">
        <v>54</v>
      </c>
      <c r="K30" s="17" t="s">
        <v>55</v>
      </c>
      <c r="L30" s="17" t="s">
        <v>56</v>
      </c>
      <c r="M30" s="17" t="s">
        <v>57</v>
      </c>
      <c r="N30" s="17" t="s">
        <v>58</v>
      </c>
    </row>
    <row r="31" customFormat="false" ht="15" hidden="false" customHeight="false" outlineLevel="0" collapsed="false">
      <c r="B31" s="11" t="s">
        <v>59</v>
      </c>
      <c r="C31" s="18" t="n">
        <v>0.92</v>
      </c>
      <c r="D31" s="18" t="n">
        <v>0.88</v>
      </c>
      <c r="E31" s="18" t="n">
        <v>1.08</v>
      </c>
      <c r="F31" s="18" t="n">
        <v>0.93</v>
      </c>
      <c r="G31" s="18" t="n">
        <v>0.94</v>
      </c>
      <c r="H31" s="18" t="n">
        <v>0.86</v>
      </c>
      <c r="I31" s="18" t="n">
        <v>0.87</v>
      </c>
      <c r="J31" s="18" t="n">
        <v>0.97</v>
      </c>
      <c r="K31" s="18" t="n">
        <v>1.02</v>
      </c>
      <c r="L31" s="18" t="n">
        <v>1</v>
      </c>
      <c r="M31" s="18" t="n">
        <v>1.13</v>
      </c>
      <c r="N31" s="18" t="n">
        <v>1.4</v>
      </c>
    </row>
    <row r="32" customFormat="false" ht="15" hidden="false" customHeight="false" outlineLevel="0" collapsed="false">
      <c r="B32" s="5" t="s">
        <v>60</v>
      </c>
      <c r="C32" s="19" t="n">
        <f aca="false">AVERAGE(C31:N31)</f>
        <v>1</v>
      </c>
    </row>
  </sheetData>
  <dataValidations count="1">
    <dataValidation allowBlank="false" errorStyle="stop" operator="between" showDropDown="false" showErrorMessage="false" showInputMessage="false" sqref="C22" type="list">
      <formula1>$B$17:$B$19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10" min="8" style="0" width="11"/>
  </cols>
  <sheetData>
    <row r="2" customFormat="false" ht="17.35" hidden="false" customHeight="false" outlineLevel="0" collapsed="false">
      <c r="B2" s="1" t="s">
        <v>61</v>
      </c>
    </row>
    <row r="3" customFormat="false" ht="15" hidden="false" customHeight="false" outlineLevel="0" collapsed="false">
      <c r="B3" s="5" t="s">
        <v>62</v>
      </c>
    </row>
    <row r="5" customFormat="false" ht="30" hidden="false" customHeight="true" outlineLevel="0" collapsed="false">
      <c r="B5" s="6" t="s">
        <v>63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</row>
    <row r="6" customFormat="false" ht="15" hidden="false" customHeight="false" outlineLevel="0" collapsed="false">
      <c r="B6" s="20" t="s">
        <v>72</v>
      </c>
      <c r="C6" s="20" t="s">
        <v>73</v>
      </c>
      <c r="D6" s="20" t="s">
        <v>74</v>
      </c>
      <c r="E6" s="9" t="n">
        <v>2490</v>
      </c>
      <c r="F6" s="9" t="n">
        <v>980</v>
      </c>
      <c r="G6" s="21" t="n">
        <v>420</v>
      </c>
      <c r="H6" s="8" t="n">
        <v>0.55</v>
      </c>
      <c r="I6" s="8" t="n">
        <v>0.3</v>
      </c>
      <c r="J6" s="15" t="n">
        <f aca="false">1-H6-I6</f>
        <v>0.15</v>
      </c>
    </row>
    <row r="7" customFormat="false" ht="15" hidden="false" customHeight="false" outlineLevel="0" collapsed="false">
      <c r="B7" s="20" t="s">
        <v>75</v>
      </c>
      <c r="C7" s="20" t="s">
        <v>76</v>
      </c>
      <c r="D7" s="20" t="s">
        <v>74</v>
      </c>
      <c r="E7" s="9" t="n">
        <v>3990</v>
      </c>
      <c r="F7" s="9" t="n">
        <v>1650</v>
      </c>
      <c r="G7" s="21" t="n">
        <v>300</v>
      </c>
      <c r="H7" s="8" t="n">
        <v>0.5</v>
      </c>
      <c r="I7" s="8" t="n">
        <v>0.3</v>
      </c>
      <c r="J7" s="15" t="n">
        <f aca="false">1-H7-I7</f>
        <v>0.2</v>
      </c>
    </row>
    <row r="8" customFormat="false" ht="15" hidden="false" customHeight="false" outlineLevel="0" collapsed="false">
      <c r="B8" s="20" t="s">
        <v>77</v>
      </c>
      <c r="C8" s="20" t="s">
        <v>78</v>
      </c>
      <c r="D8" s="20" t="s">
        <v>74</v>
      </c>
      <c r="E8" s="9" t="n">
        <v>890</v>
      </c>
      <c r="F8" s="9" t="n">
        <v>340</v>
      </c>
      <c r="G8" s="21" t="n">
        <v>650</v>
      </c>
      <c r="H8" s="8" t="n">
        <v>0.5</v>
      </c>
      <c r="I8" s="8" t="n">
        <v>0.35</v>
      </c>
      <c r="J8" s="15" t="n">
        <f aca="false">1-H8-I8</f>
        <v>0.15</v>
      </c>
    </row>
    <row r="9" customFormat="false" ht="15" hidden="false" customHeight="false" outlineLevel="0" collapsed="false">
      <c r="B9" s="20" t="s">
        <v>79</v>
      </c>
      <c r="C9" s="20" t="s">
        <v>80</v>
      </c>
      <c r="D9" s="20" t="s">
        <v>81</v>
      </c>
      <c r="E9" s="9" t="n">
        <v>690</v>
      </c>
      <c r="F9" s="9" t="n">
        <v>230</v>
      </c>
      <c r="G9" s="21" t="n">
        <v>900</v>
      </c>
      <c r="H9" s="8" t="n">
        <v>0.45</v>
      </c>
      <c r="I9" s="8" t="n">
        <v>0.35</v>
      </c>
      <c r="J9" s="15" t="n">
        <f aca="false">1-H9-I9</f>
        <v>0.2</v>
      </c>
    </row>
    <row r="10" customFormat="false" ht="15" hidden="false" customHeight="false" outlineLevel="0" collapsed="false">
      <c r="B10" s="20" t="s">
        <v>82</v>
      </c>
      <c r="C10" s="20" t="s">
        <v>83</v>
      </c>
      <c r="D10" s="20" t="s">
        <v>81</v>
      </c>
      <c r="E10" s="9" t="n">
        <v>2890</v>
      </c>
      <c r="F10" s="9" t="n">
        <v>1150</v>
      </c>
      <c r="G10" s="21" t="n">
        <v>260</v>
      </c>
      <c r="H10" s="8" t="n">
        <v>0.4</v>
      </c>
      <c r="I10" s="8" t="n">
        <v>0.35</v>
      </c>
      <c r="J10" s="15" t="n">
        <f aca="false">1-H10-I10</f>
        <v>0.25</v>
      </c>
    </row>
    <row r="11" customFormat="false" ht="15" hidden="false" customHeight="false" outlineLevel="0" collapsed="false">
      <c r="B11" s="20" t="s">
        <v>84</v>
      </c>
      <c r="C11" s="20" t="s">
        <v>85</v>
      </c>
      <c r="D11" s="20" t="s">
        <v>81</v>
      </c>
      <c r="E11" s="9" t="n">
        <v>1490</v>
      </c>
      <c r="F11" s="9" t="n">
        <v>560</v>
      </c>
      <c r="G11" s="21" t="n">
        <v>380</v>
      </c>
      <c r="H11" s="8" t="n">
        <v>0.45</v>
      </c>
      <c r="I11" s="8" t="n">
        <v>0.35</v>
      </c>
      <c r="J11" s="15" t="n">
        <f aca="false">1-H11-I11</f>
        <v>0.2</v>
      </c>
    </row>
    <row r="12" customFormat="false" ht="15" hidden="false" customHeight="false" outlineLevel="0" collapsed="false">
      <c r="B12" s="20" t="s">
        <v>86</v>
      </c>
      <c r="C12" s="20" t="s">
        <v>87</v>
      </c>
      <c r="D12" s="20" t="s">
        <v>88</v>
      </c>
      <c r="E12" s="9" t="n">
        <v>590</v>
      </c>
      <c r="F12" s="9" t="n">
        <v>260</v>
      </c>
      <c r="G12" s="21" t="n">
        <v>520</v>
      </c>
      <c r="H12" s="8" t="n">
        <v>0.55</v>
      </c>
      <c r="I12" s="8" t="n">
        <v>0.3</v>
      </c>
      <c r="J12" s="15" t="n">
        <f aca="false">1-H12-I12</f>
        <v>0.15</v>
      </c>
    </row>
    <row r="13" customFormat="false" ht="15" hidden="false" customHeight="false" outlineLevel="0" collapsed="false">
      <c r="B13" s="20" t="s">
        <v>89</v>
      </c>
      <c r="C13" s="20" t="s">
        <v>90</v>
      </c>
      <c r="D13" s="20" t="s">
        <v>88</v>
      </c>
      <c r="E13" s="9" t="n">
        <v>690</v>
      </c>
      <c r="F13" s="9" t="n">
        <v>380</v>
      </c>
      <c r="G13" s="21" t="n">
        <v>480</v>
      </c>
      <c r="H13" s="8" t="n">
        <v>0.55</v>
      </c>
      <c r="I13" s="8" t="n">
        <v>0.35</v>
      </c>
      <c r="J13" s="15" t="n">
        <f aca="false">1-H13-I13</f>
        <v>0.1</v>
      </c>
    </row>
    <row r="14" customFormat="false" ht="15" hidden="false" customHeight="false" outlineLevel="0" collapsed="false">
      <c r="B14" s="20" t="s">
        <v>91</v>
      </c>
      <c r="C14" s="20" t="s">
        <v>92</v>
      </c>
      <c r="D14" s="20" t="s">
        <v>93</v>
      </c>
      <c r="E14" s="9" t="n">
        <v>490</v>
      </c>
      <c r="F14" s="9" t="n">
        <v>210</v>
      </c>
      <c r="G14" s="21" t="n">
        <v>1100</v>
      </c>
      <c r="H14" s="8" t="n">
        <v>0.5</v>
      </c>
      <c r="I14" s="8" t="n">
        <v>0.35</v>
      </c>
      <c r="J14" s="15" t="n">
        <f aca="false">1-H14-I14</f>
        <v>0.15</v>
      </c>
    </row>
    <row r="15" customFormat="false" ht="15" hidden="false" customHeight="false" outlineLevel="0" collapsed="false">
      <c r="B15" s="20" t="s">
        <v>94</v>
      </c>
      <c r="C15" s="20" t="s">
        <v>95</v>
      </c>
      <c r="D15" s="20" t="s">
        <v>93</v>
      </c>
      <c r="E15" s="9" t="n">
        <v>1890</v>
      </c>
      <c r="F15" s="9" t="n">
        <v>720</v>
      </c>
      <c r="G15" s="21" t="n">
        <v>240</v>
      </c>
      <c r="H15" s="8" t="n">
        <v>0.4</v>
      </c>
      <c r="I15" s="8" t="n">
        <v>0.35</v>
      </c>
      <c r="J15" s="15" t="n">
        <f aca="false">1-H15-I15</f>
        <v>0.25</v>
      </c>
    </row>
    <row r="16" customFormat="false" ht="15" hidden="false" customHeight="false" outlineLevel="0" collapsed="false">
      <c r="B16" s="20" t="s">
        <v>96</v>
      </c>
      <c r="C16" s="20" t="s">
        <v>97</v>
      </c>
      <c r="D16" s="20" t="s">
        <v>98</v>
      </c>
      <c r="E16" s="9" t="n">
        <v>1290</v>
      </c>
      <c r="F16" s="9" t="n">
        <v>520</v>
      </c>
      <c r="G16" s="21" t="n">
        <v>360</v>
      </c>
      <c r="H16" s="8" t="n">
        <v>0.5</v>
      </c>
      <c r="I16" s="8" t="n">
        <v>0.35</v>
      </c>
      <c r="J16" s="15" t="n">
        <f aca="false">1-H16-I16</f>
        <v>0.15</v>
      </c>
    </row>
    <row r="17" customFormat="false" ht="15" hidden="false" customHeight="false" outlineLevel="0" collapsed="false">
      <c r="B17" s="20" t="s">
        <v>99</v>
      </c>
      <c r="C17" s="20" t="s">
        <v>100</v>
      </c>
      <c r="D17" s="20" t="s">
        <v>98</v>
      </c>
      <c r="E17" s="9" t="n">
        <v>390</v>
      </c>
      <c r="F17" s="9" t="n">
        <v>190</v>
      </c>
      <c r="G17" s="21" t="n">
        <v>700</v>
      </c>
      <c r="H17" s="8" t="n">
        <v>0.55</v>
      </c>
      <c r="I17" s="8" t="n">
        <v>0.35</v>
      </c>
      <c r="J17" s="15" t="n">
        <f aca="false">1-H17-I17</f>
        <v>0.1</v>
      </c>
    </row>
    <row r="18" customFormat="false" ht="15" hidden="false" customHeight="false" outlineLevel="0" collapsed="false">
      <c r="B18" s="22"/>
      <c r="C18" s="23" t="s">
        <v>101</v>
      </c>
      <c r="D18" s="22"/>
      <c r="E18" s="24" t="n">
        <f aca="false">SUMPRODUCT(E6:E17,G6:G17)/G18</f>
        <v>1129.61965134707</v>
      </c>
      <c r="F18" s="24" t="n">
        <f aca="false">SUMPRODUCT(F6:F17,G6:G17)/G18</f>
        <v>457.686212361331</v>
      </c>
      <c r="G18" s="25" t="n">
        <f aca="false">SUM(G6:G17)</f>
        <v>6310</v>
      </c>
      <c r="H18" s="22"/>
      <c r="I18" s="22"/>
      <c r="J18" s="22"/>
    </row>
  </sheetData>
  <conditionalFormatting sqref="J6:J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9" min="18" style="0" width="13"/>
    <col collapsed="false" customWidth="true" hidden="false" outlineLevel="0" max="23" min="20" style="0" width="10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5" t="s">
        <v>103</v>
      </c>
    </row>
    <row r="4" customFormat="false" ht="30" hidden="false" customHeight="true" outlineLevel="0" collapsed="false">
      <c r="A4" s="6" t="s">
        <v>63</v>
      </c>
      <c r="B4" s="6" t="s">
        <v>20</v>
      </c>
      <c r="C4" s="6" t="s">
        <v>64</v>
      </c>
      <c r="D4" s="6" t="s">
        <v>65</v>
      </c>
      <c r="E4" s="6" t="s">
        <v>66</v>
      </c>
      <c r="F4" s="6" t="s">
        <v>104</v>
      </c>
      <c r="G4" s="6" t="s">
        <v>105</v>
      </c>
      <c r="H4" s="6" t="s">
        <v>106</v>
      </c>
      <c r="I4" s="6" t="s">
        <v>107</v>
      </c>
      <c r="J4" s="6" t="s">
        <v>108</v>
      </c>
      <c r="K4" s="6" t="s">
        <v>109</v>
      </c>
      <c r="L4" s="6" t="s">
        <v>110</v>
      </c>
      <c r="M4" s="6" t="s">
        <v>111</v>
      </c>
      <c r="N4" s="6" t="s">
        <v>112</v>
      </c>
      <c r="O4" s="6" t="s">
        <v>113</v>
      </c>
      <c r="P4" s="6" t="s">
        <v>24</v>
      </c>
      <c r="Q4" s="6" t="s">
        <v>114</v>
      </c>
      <c r="R4" s="6" t="s">
        <v>115</v>
      </c>
      <c r="S4" s="6" t="s">
        <v>116</v>
      </c>
      <c r="T4" s="6" t="s">
        <v>117</v>
      </c>
      <c r="U4" s="6" t="s">
        <v>118</v>
      </c>
      <c r="V4" s="6" t="s">
        <v>119</v>
      </c>
      <c r="W4" s="6" t="s">
        <v>120</v>
      </c>
    </row>
    <row r="5" customFormat="false" ht="15" hidden="false" customHeight="false" outlineLevel="0" collapsed="false">
      <c r="A5" s="11" t="s">
        <v>72</v>
      </c>
      <c r="B5" s="11" t="s">
        <v>27</v>
      </c>
      <c r="C5" s="26" t="str">
        <f aca="false">INDEX(Товары!$C$6:$C$17,MATCH($A5,Товары!$B$6:$B$17,0))</f>
        <v>Плед вязаный</v>
      </c>
      <c r="D5" s="26" t="str">
        <f aca="false">INDEX(Товары!$D$6:$D$17,MATCH($A5,Товары!$B$6:$B$17,0))</f>
        <v>Текстиль</v>
      </c>
      <c r="E5" s="27" t="n">
        <f aca="false">T5*(1+Допущения!$C$23)</f>
        <v>2490</v>
      </c>
      <c r="F5" s="28" t="n">
        <f aca="false">INDEX(Товары!$F$6:$F$17,MATCH($A5,Товары!$B$6:$B$17,0))</f>
        <v>980</v>
      </c>
      <c r="G5" s="27" t="n">
        <f aca="false">E5*U5</f>
        <v>597.6</v>
      </c>
      <c r="H5" s="27" t="n">
        <f aca="false">(V5+W5*(1-P5))/P5</f>
        <v>132.051282051282</v>
      </c>
      <c r="I5" s="28" t="n">
        <f aca="false">INDEX(Допущения!$H$6:$H$8,MATCH($B5,Допущения!$B$6:$B$8,0))</f>
        <v>18</v>
      </c>
      <c r="J5" s="27" t="n">
        <f aca="false">E5*INDEX(Допущения!$G$6:$G$8,MATCH($B5,Допущения!$B$6:$B$8,0))*Допущения!$C$24</f>
        <v>298.8</v>
      </c>
      <c r="K5" s="27" t="n">
        <f aca="false">E5*Допущения!$C$11</f>
        <v>149.4</v>
      </c>
      <c r="L5" s="29" t="n">
        <f aca="false">E5-F5-G5-H5-I5-J5-K5</f>
        <v>314.148717948718</v>
      </c>
      <c r="M5" s="15" t="n">
        <f aca="false">IFERROR(L5/E5,0)</f>
        <v>0.126164143754505</v>
      </c>
      <c r="N5" s="15" t="n">
        <f aca="false">IFERROR((E5-F5-G5-H5-I5-K5)/E5,0)</f>
        <v>0.246164143754505</v>
      </c>
      <c r="O5" s="30" t="n">
        <f aca="false">INDEX(Товары!$G$6:$G$17,MATCH($A5,Товары!$B$6:$B$17,0))*INDEX(Товары!$H$6:$H$17,MATCH($A5,Товары!$B$6:$B$17,0))*(1+Допущения!$C$26)</f>
        <v>231</v>
      </c>
      <c r="P5" s="15" t="n">
        <f aca="false">MAX(0.05,MIN(1,INDEX(Допущения!$F$6:$F$8,MATCH($B5,Допущения!$B$6:$B$8,0))+Допущения!$C$25))</f>
        <v>0.78</v>
      </c>
      <c r="Q5" s="30" t="n">
        <f aca="false">O5*P5</f>
        <v>180.18</v>
      </c>
      <c r="R5" s="27" t="n">
        <f aca="false">Q5*E5</f>
        <v>448648.2</v>
      </c>
      <c r="S5" s="29" t="n">
        <f aca="false">Q5*L5</f>
        <v>56603.316</v>
      </c>
      <c r="T5" s="31" t="n">
        <f aca="false">INDEX(Товары!$E$6:$E$17,MATCH($A5,Товары!$B$6:$B$17,0))</f>
        <v>2490</v>
      </c>
      <c r="U5" s="32" t="n">
        <f aca="false">INDEX(Допущения!$C$6:$C$8,MATCH($B5,Допущения!$B$6:$B$8,0))</f>
        <v>0.24</v>
      </c>
      <c r="V5" s="31" t="n">
        <f aca="false">INDEX(Допущения!$D$6:$D$8,MATCH($B5,Допущения!$B$6:$B$8,0))</f>
        <v>92</v>
      </c>
      <c r="W5" s="31" t="n">
        <f aca="false">INDEX(Допущения!$E$6:$E$8,MATCH($B5,Допущения!$B$6:$B$8,0))</f>
        <v>50</v>
      </c>
    </row>
    <row r="6" customFormat="false" ht="15" hidden="false" customHeight="false" outlineLevel="0" collapsed="false">
      <c r="A6" s="11" t="s">
        <v>72</v>
      </c>
      <c r="B6" s="11" t="s">
        <v>28</v>
      </c>
      <c r="C6" s="26" t="str">
        <f aca="false">INDEX(Товары!$C$6:$C$17,MATCH($A6,Товары!$B$6:$B$17,0))</f>
        <v>Плед вязаный</v>
      </c>
      <c r="D6" s="26" t="str">
        <f aca="false">INDEX(Товары!$D$6:$D$17,MATCH($A6,Товары!$B$6:$B$17,0))</f>
        <v>Текстиль</v>
      </c>
      <c r="E6" s="27" t="n">
        <f aca="false">T6*(1+Допущения!$C$23)</f>
        <v>2490</v>
      </c>
      <c r="F6" s="28" t="n">
        <f aca="false">INDEX(Товары!$F$6:$F$17,MATCH($A6,Товары!$B$6:$B$17,0))</f>
        <v>980</v>
      </c>
      <c r="G6" s="27" t="n">
        <f aca="false">E6*U6</f>
        <v>522.9</v>
      </c>
      <c r="H6" s="27" t="n">
        <f aca="false">(V6+W6*(1-P6))/P6</f>
        <v>107.941176470588</v>
      </c>
      <c r="I6" s="28" t="n">
        <f aca="false">INDEX(Допущения!$H$6:$H$8,MATCH($B6,Допущения!$B$6:$B$8,0))</f>
        <v>15</v>
      </c>
      <c r="J6" s="27" t="n">
        <f aca="false">E6*INDEX(Допущения!$G$6:$G$8,MATCH($B6,Допущения!$B$6:$B$8,0))*Допущения!$C$24</f>
        <v>249</v>
      </c>
      <c r="K6" s="27" t="n">
        <f aca="false">E6*Допущения!$C$11</f>
        <v>149.4</v>
      </c>
      <c r="L6" s="29" t="n">
        <f aca="false">E6-F6-G6-H6-I6-J6-K6</f>
        <v>465.758823529412</v>
      </c>
      <c r="M6" s="15" t="n">
        <f aca="false">IFERROR(L6/E6,0)</f>
        <v>0.187051736357194</v>
      </c>
      <c r="N6" s="15" t="n">
        <f aca="false">IFERROR((E6-F6-G6-H6-I6-K6)/E6,0)</f>
        <v>0.287051736357194</v>
      </c>
      <c r="O6" s="30" t="n">
        <f aca="false">INDEX(Товары!$G$6:$G$17,MATCH($A6,Товары!$B$6:$B$17,0))*INDEX(Товары!$I$6:$I$17,MATCH($A6,Товары!$B$6:$B$17,0))*(1+Допущения!$C$26)</f>
        <v>126</v>
      </c>
      <c r="P6" s="15" t="n">
        <f aca="false">MAX(0.05,MIN(1,INDEX(Допущения!$F$6:$F$8,MATCH($B6,Допущения!$B$6:$B$8,0))+Допущения!$C$25))</f>
        <v>0.85</v>
      </c>
      <c r="Q6" s="30" t="n">
        <f aca="false">O6*P6</f>
        <v>107.1</v>
      </c>
      <c r="R6" s="27" t="n">
        <f aca="false">Q6*E6</f>
        <v>266679</v>
      </c>
      <c r="S6" s="29" t="n">
        <f aca="false">Q6*L6</f>
        <v>49882.77</v>
      </c>
      <c r="T6" s="31" t="n">
        <f aca="false">INDEX(Товары!$E$6:$E$17,MATCH($A6,Товары!$B$6:$B$17,0))</f>
        <v>2490</v>
      </c>
      <c r="U6" s="32" t="n">
        <f aca="false">INDEX(Допущения!$C$6:$C$8,MATCH($B6,Допущения!$B$6:$B$8,0))</f>
        <v>0.21</v>
      </c>
      <c r="V6" s="31" t="n">
        <f aca="false">INDEX(Допущения!$D$6:$D$8,MATCH($B6,Допущения!$B$6:$B$8,0))</f>
        <v>85</v>
      </c>
      <c r="W6" s="31" t="n">
        <f aca="false">INDEX(Допущения!$E$6:$E$8,MATCH($B6,Допущения!$B$6:$B$8,0))</f>
        <v>45</v>
      </c>
    </row>
    <row r="7" customFormat="false" ht="15" hidden="false" customHeight="false" outlineLevel="0" collapsed="false">
      <c r="A7" s="11" t="s">
        <v>72</v>
      </c>
      <c r="B7" s="11" t="s">
        <v>29</v>
      </c>
      <c r="C7" s="26" t="str">
        <f aca="false">INDEX(Товары!$C$6:$C$17,MATCH($A7,Товары!$B$6:$B$17,0))</f>
        <v>Плед вязаный</v>
      </c>
      <c r="D7" s="26" t="str">
        <f aca="false">INDEX(Товары!$D$6:$D$17,MATCH($A7,Товары!$B$6:$B$17,0))</f>
        <v>Текстиль</v>
      </c>
      <c r="E7" s="27" t="n">
        <f aca="false">T7*(1+Допущения!$C$23)</f>
        <v>2490</v>
      </c>
      <c r="F7" s="28" t="n">
        <f aca="false">INDEX(Товары!$F$6:$F$17,MATCH($A7,Товары!$B$6:$B$17,0))</f>
        <v>980</v>
      </c>
      <c r="G7" s="27" t="n">
        <f aca="false">E7*U7</f>
        <v>87.15</v>
      </c>
      <c r="H7" s="27" t="n">
        <f aca="false">(V7+W7*(1-P7))/P7</f>
        <v>176.842105263158</v>
      </c>
      <c r="I7" s="28" t="n">
        <f aca="false">INDEX(Допущения!$H$6:$H$8,MATCH($B7,Допущения!$B$6:$B$8,0))</f>
        <v>0</v>
      </c>
      <c r="J7" s="27" t="n">
        <f aca="false">E7*INDEX(Допущения!$G$6:$G$8,MATCH($B7,Допущения!$B$6:$B$8,0))*Допущения!$C$24</f>
        <v>323.7</v>
      </c>
      <c r="K7" s="27" t="n">
        <f aca="false">E7*Допущения!$C$11</f>
        <v>149.4</v>
      </c>
      <c r="L7" s="29" t="n">
        <f aca="false">E7-F7-G7-H7-I7-J7-K7</f>
        <v>772.907894736842</v>
      </c>
      <c r="M7" s="15" t="n">
        <f aca="false">IFERROR(L7/E7,0)</f>
        <v>0.310404777002748</v>
      </c>
      <c r="N7" s="15" t="n">
        <f aca="false">IFERROR((E7-F7-G7-H7-I7-K7)/E7,0)</f>
        <v>0.440404777002748</v>
      </c>
      <c r="O7" s="30" t="n">
        <f aca="false">INDEX(Товары!$G$6:$G$17,MATCH($A7,Товары!$B$6:$B$17,0))*INDEX(Товары!$J$6:$J$17,MATCH($A7,Товары!$B$6:$B$17,0))*(1+Допущения!$C$26)</f>
        <v>63</v>
      </c>
      <c r="P7" s="15" t="n">
        <f aca="false">MAX(0.05,MIN(1,INDEX(Допущения!$F$6:$F$8,MATCH($B7,Допущения!$B$6:$B$8,0))+Допущения!$C$25))</f>
        <v>0.95</v>
      </c>
      <c r="Q7" s="30" t="n">
        <f aca="false">O7*P7</f>
        <v>59.85</v>
      </c>
      <c r="R7" s="27" t="n">
        <f aca="false">Q7*E7</f>
        <v>149026.5</v>
      </c>
      <c r="S7" s="29" t="n">
        <f aca="false">Q7*L7</f>
        <v>46258.5375</v>
      </c>
      <c r="T7" s="31" t="n">
        <f aca="false">INDEX(Товары!$E$6:$E$17,MATCH($A7,Товары!$B$6:$B$17,0))</f>
        <v>2490</v>
      </c>
      <c r="U7" s="32" t="n">
        <f aca="false">INDEX(Допущения!$C$6:$C$8,MATCH($B7,Допущения!$B$6:$B$8,0))</f>
        <v>0.035</v>
      </c>
      <c r="V7" s="31" t="n">
        <f aca="false">INDEX(Допущения!$D$6:$D$8,MATCH($B7,Допущения!$B$6:$B$8,0))</f>
        <v>160</v>
      </c>
      <c r="W7" s="31" t="n">
        <f aca="false">INDEX(Допущения!$E$6:$E$8,MATCH($B7,Допущения!$B$6:$B$8,0))</f>
        <v>160</v>
      </c>
    </row>
    <row r="8" customFormat="false" ht="15" hidden="false" customHeight="false" outlineLevel="0" collapsed="false">
      <c r="A8" s="11" t="s">
        <v>75</v>
      </c>
      <c r="B8" s="11" t="s">
        <v>27</v>
      </c>
      <c r="C8" s="26" t="str">
        <f aca="false">INDEX(Товары!$C$6:$C$17,MATCH($A8,Товары!$B$6:$B$17,0))</f>
        <v>Комплект постельного белья</v>
      </c>
      <c r="D8" s="26" t="str">
        <f aca="false">INDEX(Товары!$D$6:$D$17,MATCH($A8,Товары!$B$6:$B$17,0))</f>
        <v>Текстиль</v>
      </c>
      <c r="E8" s="27" t="n">
        <f aca="false">T8*(1+Допущения!$C$23)</f>
        <v>3990</v>
      </c>
      <c r="F8" s="28" t="n">
        <f aca="false">INDEX(Товары!$F$6:$F$17,MATCH($A8,Товары!$B$6:$B$17,0))</f>
        <v>1650</v>
      </c>
      <c r="G8" s="27" t="n">
        <f aca="false">E8*U8</f>
        <v>957.6</v>
      </c>
      <c r="H8" s="27" t="n">
        <f aca="false">(V8+W8*(1-P8))/P8</f>
        <v>132.051282051282</v>
      </c>
      <c r="I8" s="28" t="n">
        <f aca="false">INDEX(Допущения!$H$6:$H$8,MATCH($B8,Допущения!$B$6:$B$8,0))</f>
        <v>18</v>
      </c>
      <c r="J8" s="27" t="n">
        <f aca="false">E8*INDEX(Допущения!$G$6:$G$8,MATCH($B8,Допущения!$B$6:$B$8,0))*Допущения!$C$24</f>
        <v>478.8</v>
      </c>
      <c r="K8" s="27" t="n">
        <f aca="false">E8*Допущения!$C$11</f>
        <v>239.4</v>
      </c>
      <c r="L8" s="29" t="n">
        <f aca="false">E8-F8-G8-H8-I8-J8-K8</f>
        <v>514.148717948718</v>
      </c>
      <c r="M8" s="15" t="n">
        <f aca="false">IFERROR(L8/E8,0)</f>
        <v>0.128859327806696</v>
      </c>
      <c r="N8" s="15" t="n">
        <f aca="false">IFERROR((E8-F8-G8-H8-I8-K8)/E8,0)</f>
        <v>0.248859327806696</v>
      </c>
      <c r="O8" s="30" t="n">
        <f aca="false">INDEX(Товары!$G$6:$G$17,MATCH($A8,Товары!$B$6:$B$17,0))*INDEX(Товары!$H$6:$H$17,MATCH($A8,Товары!$B$6:$B$17,0))*(1+Допущения!$C$26)</f>
        <v>150</v>
      </c>
      <c r="P8" s="15" t="n">
        <f aca="false">MAX(0.05,MIN(1,INDEX(Допущения!$F$6:$F$8,MATCH($B8,Допущения!$B$6:$B$8,0))+Допущения!$C$25))</f>
        <v>0.78</v>
      </c>
      <c r="Q8" s="30" t="n">
        <f aca="false">O8*P8</f>
        <v>117</v>
      </c>
      <c r="R8" s="27" t="n">
        <f aca="false">Q8*E8</f>
        <v>466830</v>
      </c>
      <c r="S8" s="29" t="n">
        <f aca="false">Q8*L8</f>
        <v>60155.4</v>
      </c>
      <c r="T8" s="31" t="n">
        <f aca="false">INDEX(Товары!$E$6:$E$17,MATCH($A8,Товары!$B$6:$B$17,0))</f>
        <v>3990</v>
      </c>
      <c r="U8" s="32" t="n">
        <f aca="false">INDEX(Допущения!$C$6:$C$8,MATCH($B8,Допущения!$B$6:$B$8,0))</f>
        <v>0.24</v>
      </c>
      <c r="V8" s="31" t="n">
        <f aca="false">INDEX(Допущения!$D$6:$D$8,MATCH($B8,Допущения!$B$6:$B$8,0))</f>
        <v>92</v>
      </c>
      <c r="W8" s="31" t="n">
        <f aca="false">INDEX(Допущения!$E$6:$E$8,MATCH($B8,Допущения!$B$6:$B$8,0))</f>
        <v>50</v>
      </c>
    </row>
    <row r="9" customFormat="false" ht="15" hidden="false" customHeight="false" outlineLevel="0" collapsed="false">
      <c r="A9" s="11" t="s">
        <v>75</v>
      </c>
      <c r="B9" s="11" t="s">
        <v>28</v>
      </c>
      <c r="C9" s="26" t="str">
        <f aca="false">INDEX(Товары!$C$6:$C$17,MATCH($A9,Товары!$B$6:$B$17,0))</f>
        <v>Комплект постельного белья</v>
      </c>
      <c r="D9" s="26" t="str">
        <f aca="false">INDEX(Товары!$D$6:$D$17,MATCH($A9,Товары!$B$6:$B$17,0))</f>
        <v>Текстиль</v>
      </c>
      <c r="E9" s="27" t="n">
        <f aca="false">T9*(1+Допущения!$C$23)</f>
        <v>3990</v>
      </c>
      <c r="F9" s="28" t="n">
        <f aca="false">INDEX(Товары!$F$6:$F$17,MATCH($A9,Товары!$B$6:$B$17,0))</f>
        <v>1650</v>
      </c>
      <c r="G9" s="27" t="n">
        <f aca="false">E9*U9</f>
        <v>837.9</v>
      </c>
      <c r="H9" s="27" t="n">
        <f aca="false">(V9+W9*(1-P9))/P9</f>
        <v>107.941176470588</v>
      </c>
      <c r="I9" s="28" t="n">
        <f aca="false">INDEX(Допущения!$H$6:$H$8,MATCH($B9,Допущения!$B$6:$B$8,0))</f>
        <v>15</v>
      </c>
      <c r="J9" s="27" t="n">
        <f aca="false">E9*INDEX(Допущения!$G$6:$G$8,MATCH($B9,Допущения!$B$6:$B$8,0))*Допущения!$C$24</f>
        <v>399</v>
      </c>
      <c r="K9" s="27" t="n">
        <f aca="false">E9*Допущения!$C$11</f>
        <v>239.4</v>
      </c>
      <c r="L9" s="29" t="n">
        <f aca="false">E9-F9-G9-H9-I9-J9-K9</f>
        <v>740.758823529412</v>
      </c>
      <c r="M9" s="15" t="n">
        <f aca="false">IFERROR(L9/E9,0)</f>
        <v>0.185653840483562</v>
      </c>
      <c r="N9" s="15" t="n">
        <f aca="false">IFERROR((E9-F9-G9-H9-I9-K9)/E9,0)</f>
        <v>0.285653840483562</v>
      </c>
      <c r="O9" s="30" t="n">
        <f aca="false">INDEX(Товары!$G$6:$G$17,MATCH($A9,Товары!$B$6:$B$17,0))*INDEX(Товары!$I$6:$I$17,MATCH($A9,Товары!$B$6:$B$17,0))*(1+Допущения!$C$26)</f>
        <v>90</v>
      </c>
      <c r="P9" s="15" t="n">
        <f aca="false">MAX(0.05,MIN(1,INDEX(Допущения!$F$6:$F$8,MATCH($B9,Допущения!$B$6:$B$8,0))+Допущения!$C$25))</f>
        <v>0.85</v>
      </c>
      <c r="Q9" s="30" t="n">
        <f aca="false">O9*P9</f>
        <v>76.5</v>
      </c>
      <c r="R9" s="27" t="n">
        <f aca="false">Q9*E9</f>
        <v>305235</v>
      </c>
      <c r="S9" s="29" t="n">
        <f aca="false">Q9*L9</f>
        <v>56668.05</v>
      </c>
      <c r="T9" s="31" t="n">
        <f aca="false">INDEX(Товары!$E$6:$E$17,MATCH($A9,Товары!$B$6:$B$17,0))</f>
        <v>3990</v>
      </c>
      <c r="U9" s="32" t="n">
        <f aca="false">INDEX(Допущения!$C$6:$C$8,MATCH($B9,Допущения!$B$6:$B$8,0))</f>
        <v>0.21</v>
      </c>
      <c r="V9" s="31" t="n">
        <f aca="false">INDEX(Допущения!$D$6:$D$8,MATCH($B9,Допущения!$B$6:$B$8,0))</f>
        <v>85</v>
      </c>
      <c r="W9" s="31" t="n">
        <f aca="false">INDEX(Допущения!$E$6:$E$8,MATCH($B9,Допущения!$B$6:$B$8,0))</f>
        <v>45</v>
      </c>
    </row>
    <row r="10" customFormat="false" ht="15" hidden="false" customHeight="false" outlineLevel="0" collapsed="false">
      <c r="A10" s="11" t="s">
        <v>75</v>
      </c>
      <c r="B10" s="11" t="s">
        <v>29</v>
      </c>
      <c r="C10" s="26" t="str">
        <f aca="false">INDEX(Товары!$C$6:$C$17,MATCH($A10,Товары!$B$6:$B$17,0))</f>
        <v>Комплект постельного белья</v>
      </c>
      <c r="D10" s="26" t="str">
        <f aca="false">INDEX(Товары!$D$6:$D$17,MATCH($A10,Товары!$B$6:$B$17,0))</f>
        <v>Текстиль</v>
      </c>
      <c r="E10" s="27" t="n">
        <f aca="false">T10*(1+Допущения!$C$23)</f>
        <v>3990</v>
      </c>
      <c r="F10" s="28" t="n">
        <f aca="false">INDEX(Товары!$F$6:$F$17,MATCH($A10,Товары!$B$6:$B$17,0))</f>
        <v>1650</v>
      </c>
      <c r="G10" s="27" t="n">
        <f aca="false">E10*U10</f>
        <v>139.65</v>
      </c>
      <c r="H10" s="27" t="n">
        <f aca="false">(V10+W10*(1-P10))/P10</f>
        <v>176.842105263158</v>
      </c>
      <c r="I10" s="28" t="n">
        <f aca="false">INDEX(Допущения!$H$6:$H$8,MATCH($B10,Допущения!$B$6:$B$8,0))</f>
        <v>0</v>
      </c>
      <c r="J10" s="27" t="n">
        <f aca="false">E10*INDEX(Допущения!$G$6:$G$8,MATCH($B10,Допущения!$B$6:$B$8,0))*Допущения!$C$24</f>
        <v>518.7</v>
      </c>
      <c r="K10" s="27" t="n">
        <f aca="false">E10*Допущения!$C$11</f>
        <v>239.4</v>
      </c>
      <c r="L10" s="29" t="n">
        <f aca="false">E10-F10-G10-H10-I10-J10-K10</f>
        <v>1265.40789473684</v>
      </c>
      <c r="M10" s="15" t="n">
        <f aca="false">IFERROR(L10/E10,0)</f>
        <v>0.317144835773645</v>
      </c>
      <c r="N10" s="15" t="n">
        <f aca="false">IFERROR((E10-F10-G10-H10-I10-K10)/E10,0)</f>
        <v>0.447144835773645</v>
      </c>
      <c r="O10" s="30" t="n">
        <f aca="false">INDEX(Товары!$G$6:$G$17,MATCH($A10,Товары!$B$6:$B$17,0))*INDEX(Товары!$J$6:$J$17,MATCH($A10,Товары!$B$6:$B$17,0))*(1+Допущения!$C$26)</f>
        <v>60</v>
      </c>
      <c r="P10" s="15" t="n">
        <f aca="false">MAX(0.05,MIN(1,INDEX(Допущения!$F$6:$F$8,MATCH($B10,Допущения!$B$6:$B$8,0))+Допущения!$C$25))</f>
        <v>0.95</v>
      </c>
      <c r="Q10" s="30" t="n">
        <f aca="false">O10*P10</f>
        <v>57</v>
      </c>
      <c r="R10" s="27" t="n">
        <f aca="false">Q10*E10</f>
        <v>227430</v>
      </c>
      <c r="S10" s="29" t="n">
        <f aca="false">Q10*L10</f>
        <v>72128.25</v>
      </c>
      <c r="T10" s="31" t="n">
        <f aca="false">INDEX(Товары!$E$6:$E$17,MATCH($A10,Товары!$B$6:$B$17,0))</f>
        <v>3990</v>
      </c>
      <c r="U10" s="32" t="n">
        <f aca="false">INDEX(Допущения!$C$6:$C$8,MATCH($B10,Допущения!$B$6:$B$8,0))</f>
        <v>0.035</v>
      </c>
      <c r="V10" s="31" t="n">
        <f aca="false">INDEX(Допущения!$D$6:$D$8,MATCH($B10,Допущения!$B$6:$B$8,0))</f>
        <v>160</v>
      </c>
      <c r="W10" s="31" t="n">
        <f aca="false">INDEX(Допущения!$E$6:$E$8,MATCH($B10,Допущения!$B$6:$B$8,0))</f>
        <v>160</v>
      </c>
    </row>
    <row r="11" customFormat="false" ht="15" hidden="false" customHeight="false" outlineLevel="0" collapsed="false">
      <c r="A11" s="11" t="s">
        <v>77</v>
      </c>
      <c r="B11" s="11" t="s">
        <v>27</v>
      </c>
      <c r="C11" s="26" t="str">
        <f aca="false">INDEX(Товары!$C$6:$C$17,MATCH($A11,Товары!$B$6:$B$17,0))</f>
        <v>Полотенце махровое</v>
      </c>
      <c r="D11" s="26" t="str">
        <f aca="false">INDEX(Товары!$D$6:$D$17,MATCH($A11,Товары!$B$6:$B$17,0))</f>
        <v>Текстиль</v>
      </c>
      <c r="E11" s="27" t="n">
        <f aca="false">T11*(1+Допущения!$C$23)</f>
        <v>890</v>
      </c>
      <c r="F11" s="28" t="n">
        <f aca="false">INDEX(Товары!$F$6:$F$17,MATCH($A11,Товары!$B$6:$B$17,0))</f>
        <v>340</v>
      </c>
      <c r="G11" s="27" t="n">
        <f aca="false">E11*U11</f>
        <v>213.6</v>
      </c>
      <c r="H11" s="27" t="n">
        <f aca="false">(V11+W11*(1-P11))/P11</f>
        <v>132.051282051282</v>
      </c>
      <c r="I11" s="28" t="n">
        <f aca="false">INDEX(Допущения!$H$6:$H$8,MATCH($B11,Допущения!$B$6:$B$8,0))</f>
        <v>18</v>
      </c>
      <c r="J11" s="27" t="n">
        <f aca="false">E11*INDEX(Допущения!$G$6:$G$8,MATCH($B11,Допущения!$B$6:$B$8,0))*Допущения!$C$24</f>
        <v>106.8</v>
      </c>
      <c r="K11" s="27" t="n">
        <f aca="false">E11*Допущения!$C$11</f>
        <v>53.4</v>
      </c>
      <c r="L11" s="29" t="n">
        <f aca="false">E11-F11-G11-H11-I11-J11-K11</f>
        <v>26.1487179487179</v>
      </c>
      <c r="M11" s="15" t="n">
        <f aca="false">IFERROR(L11/E11,0)</f>
        <v>0.0293805819648516</v>
      </c>
      <c r="N11" s="15" t="n">
        <f aca="false">IFERROR((E11-F11-G11-H11-I11-K11)/E11,0)</f>
        <v>0.149380581964852</v>
      </c>
      <c r="O11" s="30" t="n">
        <f aca="false">INDEX(Товары!$G$6:$G$17,MATCH($A11,Товары!$B$6:$B$17,0))*INDEX(Товары!$H$6:$H$17,MATCH($A11,Товары!$B$6:$B$17,0))*(1+Допущения!$C$26)</f>
        <v>325</v>
      </c>
      <c r="P11" s="15" t="n">
        <f aca="false">MAX(0.05,MIN(1,INDEX(Допущения!$F$6:$F$8,MATCH($B11,Допущения!$B$6:$B$8,0))+Допущения!$C$25))</f>
        <v>0.78</v>
      </c>
      <c r="Q11" s="30" t="n">
        <f aca="false">O11*P11</f>
        <v>253.5</v>
      </c>
      <c r="R11" s="27" t="n">
        <f aca="false">Q11*E11</f>
        <v>225615</v>
      </c>
      <c r="S11" s="29" t="n">
        <f aca="false">Q11*L11</f>
        <v>6628.7</v>
      </c>
      <c r="T11" s="31" t="n">
        <f aca="false">INDEX(Товары!$E$6:$E$17,MATCH($A11,Товары!$B$6:$B$17,0))</f>
        <v>890</v>
      </c>
      <c r="U11" s="32" t="n">
        <f aca="false">INDEX(Допущения!$C$6:$C$8,MATCH($B11,Допущения!$B$6:$B$8,0))</f>
        <v>0.24</v>
      </c>
      <c r="V11" s="31" t="n">
        <f aca="false">INDEX(Допущения!$D$6:$D$8,MATCH($B11,Допущения!$B$6:$B$8,0))</f>
        <v>92</v>
      </c>
      <c r="W11" s="31" t="n">
        <f aca="false">INDEX(Допущения!$E$6:$E$8,MATCH($B11,Допущения!$B$6:$B$8,0))</f>
        <v>50</v>
      </c>
    </row>
    <row r="12" customFormat="false" ht="15" hidden="false" customHeight="false" outlineLevel="0" collapsed="false">
      <c r="A12" s="11" t="s">
        <v>77</v>
      </c>
      <c r="B12" s="11" t="s">
        <v>28</v>
      </c>
      <c r="C12" s="26" t="str">
        <f aca="false">INDEX(Товары!$C$6:$C$17,MATCH($A12,Товары!$B$6:$B$17,0))</f>
        <v>Полотенце махровое</v>
      </c>
      <c r="D12" s="26" t="str">
        <f aca="false">INDEX(Товары!$D$6:$D$17,MATCH($A12,Товары!$B$6:$B$17,0))</f>
        <v>Текстиль</v>
      </c>
      <c r="E12" s="27" t="n">
        <f aca="false">T12*(1+Допущения!$C$23)</f>
        <v>890</v>
      </c>
      <c r="F12" s="28" t="n">
        <f aca="false">INDEX(Товары!$F$6:$F$17,MATCH($A12,Товары!$B$6:$B$17,0))</f>
        <v>340</v>
      </c>
      <c r="G12" s="27" t="n">
        <f aca="false">E12*U12</f>
        <v>186.9</v>
      </c>
      <c r="H12" s="27" t="n">
        <f aca="false">(V12+W12*(1-P12))/P12</f>
        <v>107.941176470588</v>
      </c>
      <c r="I12" s="28" t="n">
        <f aca="false">INDEX(Допущения!$H$6:$H$8,MATCH($B12,Допущения!$B$6:$B$8,0))</f>
        <v>15</v>
      </c>
      <c r="J12" s="27" t="n">
        <f aca="false">E12*INDEX(Допущения!$G$6:$G$8,MATCH($B12,Допущения!$B$6:$B$8,0))*Допущения!$C$24</f>
        <v>89</v>
      </c>
      <c r="K12" s="27" t="n">
        <f aca="false">E12*Допущения!$C$11</f>
        <v>53.4</v>
      </c>
      <c r="L12" s="29" t="n">
        <f aca="false">E12-F12-G12-H12-I12-J12-K12</f>
        <v>97.7588235294118</v>
      </c>
      <c r="M12" s="15" t="n">
        <f aca="false">IFERROR(L12/E12,0)</f>
        <v>0.109841374752148</v>
      </c>
      <c r="N12" s="15" t="n">
        <f aca="false">IFERROR((E12-F12-G12-H12-I12-K12)/E12,0)</f>
        <v>0.209841374752148</v>
      </c>
      <c r="O12" s="30" t="n">
        <f aca="false">INDEX(Товары!$G$6:$G$17,MATCH($A12,Товары!$B$6:$B$17,0))*INDEX(Товары!$I$6:$I$17,MATCH($A12,Товары!$B$6:$B$17,0))*(1+Допущения!$C$26)</f>
        <v>227.5</v>
      </c>
      <c r="P12" s="15" t="n">
        <f aca="false">MAX(0.05,MIN(1,INDEX(Допущения!$F$6:$F$8,MATCH($B12,Допущения!$B$6:$B$8,0))+Допущения!$C$25))</f>
        <v>0.85</v>
      </c>
      <c r="Q12" s="30" t="n">
        <f aca="false">O12*P12</f>
        <v>193.375</v>
      </c>
      <c r="R12" s="27" t="n">
        <f aca="false">Q12*E12</f>
        <v>172103.75</v>
      </c>
      <c r="S12" s="29" t="n">
        <f aca="false">Q12*L12</f>
        <v>18904.1125</v>
      </c>
      <c r="T12" s="31" t="n">
        <f aca="false">INDEX(Товары!$E$6:$E$17,MATCH($A12,Товары!$B$6:$B$17,0))</f>
        <v>890</v>
      </c>
      <c r="U12" s="32" t="n">
        <f aca="false">INDEX(Допущения!$C$6:$C$8,MATCH($B12,Допущения!$B$6:$B$8,0))</f>
        <v>0.21</v>
      </c>
      <c r="V12" s="31" t="n">
        <f aca="false">INDEX(Допущения!$D$6:$D$8,MATCH($B12,Допущения!$B$6:$B$8,0))</f>
        <v>85</v>
      </c>
      <c r="W12" s="31" t="n">
        <f aca="false">INDEX(Допущения!$E$6:$E$8,MATCH($B12,Допущения!$B$6:$B$8,0))</f>
        <v>45</v>
      </c>
    </row>
    <row r="13" customFormat="false" ht="15" hidden="false" customHeight="false" outlineLevel="0" collapsed="false">
      <c r="A13" s="11" t="s">
        <v>77</v>
      </c>
      <c r="B13" s="11" t="s">
        <v>29</v>
      </c>
      <c r="C13" s="26" t="str">
        <f aca="false">INDEX(Товары!$C$6:$C$17,MATCH($A13,Товары!$B$6:$B$17,0))</f>
        <v>Полотенце махровое</v>
      </c>
      <c r="D13" s="26" t="str">
        <f aca="false">INDEX(Товары!$D$6:$D$17,MATCH($A13,Товары!$B$6:$B$17,0))</f>
        <v>Текстиль</v>
      </c>
      <c r="E13" s="27" t="n">
        <f aca="false">T13*(1+Допущения!$C$23)</f>
        <v>890</v>
      </c>
      <c r="F13" s="28" t="n">
        <f aca="false">INDEX(Товары!$F$6:$F$17,MATCH($A13,Товары!$B$6:$B$17,0))</f>
        <v>340</v>
      </c>
      <c r="G13" s="27" t="n">
        <f aca="false">E13*U13</f>
        <v>31.15</v>
      </c>
      <c r="H13" s="27" t="n">
        <f aca="false">(V13+W13*(1-P13))/P13</f>
        <v>176.842105263158</v>
      </c>
      <c r="I13" s="28" t="n">
        <f aca="false">INDEX(Допущения!$H$6:$H$8,MATCH($B13,Допущения!$B$6:$B$8,0))</f>
        <v>0</v>
      </c>
      <c r="J13" s="27" t="n">
        <f aca="false">E13*INDEX(Допущения!$G$6:$G$8,MATCH($B13,Допущения!$B$6:$B$8,0))*Допущения!$C$24</f>
        <v>115.7</v>
      </c>
      <c r="K13" s="27" t="n">
        <f aca="false">E13*Допущения!$C$11</f>
        <v>53.4</v>
      </c>
      <c r="L13" s="29" t="n">
        <f aca="false">E13-F13-G13-H13-I13-J13-K13</f>
        <v>172.907894736842</v>
      </c>
      <c r="M13" s="15" t="n">
        <f aca="false">IFERROR(L13/E13,0)</f>
        <v>0.194278533412182</v>
      </c>
      <c r="N13" s="15" t="n">
        <f aca="false">IFERROR((E13-F13-G13-H13-I13-K13)/E13,0)</f>
        <v>0.324278533412182</v>
      </c>
      <c r="O13" s="30" t="n">
        <f aca="false">INDEX(Товары!$G$6:$G$17,MATCH($A13,Товары!$B$6:$B$17,0))*INDEX(Товары!$J$6:$J$17,MATCH($A13,Товары!$B$6:$B$17,0))*(1+Допущения!$C$26)</f>
        <v>97.5</v>
      </c>
      <c r="P13" s="15" t="n">
        <f aca="false">MAX(0.05,MIN(1,INDEX(Допущения!$F$6:$F$8,MATCH($B13,Допущения!$B$6:$B$8,0))+Допущения!$C$25))</f>
        <v>0.95</v>
      </c>
      <c r="Q13" s="30" t="n">
        <f aca="false">O13*P13</f>
        <v>92.625</v>
      </c>
      <c r="R13" s="27" t="n">
        <f aca="false">Q13*E13</f>
        <v>82436.25</v>
      </c>
      <c r="S13" s="29" t="n">
        <f aca="false">Q13*L13</f>
        <v>16015.59375</v>
      </c>
      <c r="T13" s="31" t="n">
        <f aca="false">INDEX(Товары!$E$6:$E$17,MATCH($A13,Товары!$B$6:$B$17,0))</f>
        <v>890</v>
      </c>
      <c r="U13" s="32" t="n">
        <f aca="false">INDEX(Допущения!$C$6:$C$8,MATCH($B13,Допущения!$B$6:$B$8,0))</f>
        <v>0.035</v>
      </c>
      <c r="V13" s="31" t="n">
        <f aca="false">INDEX(Допущения!$D$6:$D$8,MATCH($B13,Допущения!$B$6:$B$8,0))</f>
        <v>160</v>
      </c>
      <c r="W13" s="31" t="n">
        <f aca="false">INDEX(Допущения!$E$6:$E$8,MATCH($B13,Допущения!$B$6:$B$8,0))</f>
        <v>160</v>
      </c>
    </row>
    <row r="14" customFormat="false" ht="15" hidden="false" customHeight="false" outlineLevel="0" collapsed="false">
      <c r="A14" s="11" t="s">
        <v>79</v>
      </c>
      <c r="B14" s="11" t="s">
        <v>27</v>
      </c>
      <c r="C14" s="26" t="str">
        <f aca="false">INDEX(Товары!$C$6:$C$17,MATCH($A14,Товары!$B$6:$B$17,0))</f>
        <v>Кружка керамическая</v>
      </c>
      <c r="D14" s="26" t="str">
        <f aca="false">INDEX(Товары!$D$6:$D$17,MATCH($A14,Товары!$B$6:$B$17,0))</f>
        <v>Посуда</v>
      </c>
      <c r="E14" s="27" t="n">
        <f aca="false">T14*(1+Допущения!$C$23)</f>
        <v>690</v>
      </c>
      <c r="F14" s="28" t="n">
        <f aca="false">INDEX(Товары!$F$6:$F$17,MATCH($A14,Товары!$B$6:$B$17,0))</f>
        <v>230</v>
      </c>
      <c r="G14" s="27" t="n">
        <f aca="false">E14*U14</f>
        <v>165.6</v>
      </c>
      <c r="H14" s="27" t="n">
        <f aca="false">(V14+W14*(1-P14))/P14</f>
        <v>132.051282051282</v>
      </c>
      <c r="I14" s="28" t="n">
        <f aca="false">INDEX(Допущения!$H$6:$H$8,MATCH($B14,Допущения!$B$6:$B$8,0))</f>
        <v>18</v>
      </c>
      <c r="J14" s="27" t="n">
        <f aca="false">E14*INDEX(Допущения!$G$6:$G$8,MATCH($B14,Допущения!$B$6:$B$8,0))*Допущения!$C$24</f>
        <v>82.8</v>
      </c>
      <c r="K14" s="27" t="n">
        <f aca="false">E14*Допущения!$C$11</f>
        <v>41.4</v>
      </c>
      <c r="L14" s="29" t="n">
        <f aca="false">E14-F14-G14-H14-I14-J14-K14</f>
        <v>20.1487179487179</v>
      </c>
      <c r="M14" s="15" t="n">
        <f aca="false">IFERROR(L14/E14,0)</f>
        <v>0.0292010405053883</v>
      </c>
      <c r="N14" s="15" t="n">
        <f aca="false">IFERROR((E14-F14-G14-H14-I14-K14)/E14,0)</f>
        <v>0.149201040505388</v>
      </c>
      <c r="O14" s="30" t="n">
        <f aca="false">INDEX(Товары!$G$6:$G$17,MATCH($A14,Товары!$B$6:$B$17,0))*INDEX(Товары!$H$6:$H$17,MATCH($A14,Товары!$B$6:$B$17,0))*(1+Допущения!$C$26)</f>
        <v>405</v>
      </c>
      <c r="P14" s="15" t="n">
        <f aca="false">MAX(0.05,MIN(1,INDEX(Допущения!$F$6:$F$8,MATCH($B14,Допущения!$B$6:$B$8,0))+Допущения!$C$25))</f>
        <v>0.78</v>
      </c>
      <c r="Q14" s="30" t="n">
        <f aca="false">O14*P14</f>
        <v>315.9</v>
      </c>
      <c r="R14" s="27" t="n">
        <f aca="false">Q14*E14</f>
        <v>217971</v>
      </c>
      <c r="S14" s="29" t="n">
        <f aca="false">Q14*L14</f>
        <v>6364.98</v>
      </c>
      <c r="T14" s="31" t="n">
        <f aca="false">INDEX(Товары!$E$6:$E$17,MATCH($A14,Товары!$B$6:$B$17,0))</f>
        <v>690</v>
      </c>
      <c r="U14" s="32" t="n">
        <f aca="false">INDEX(Допущения!$C$6:$C$8,MATCH($B14,Допущения!$B$6:$B$8,0))</f>
        <v>0.24</v>
      </c>
      <c r="V14" s="31" t="n">
        <f aca="false">INDEX(Допущения!$D$6:$D$8,MATCH($B14,Допущения!$B$6:$B$8,0))</f>
        <v>92</v>
      </c>
      <c r="W14" s="31" t="n">
        <f aca="false">INDEX(Допущения!$E$6:$E$8,MATCH($B14,Допущения!$B$6:$B$8,0))</f>
        <v>50</v>
      </c>
    </row>
    <row r="15" customFormat="false" ht="15" hidden="false" customHeight="false" outlineLevel="0" collapsed="false">
      <c r="A15" s="11" t="s">
        <v>79</v>
      </c>
      <c r="B15" s="11" t="s">
        <v>28</v>
      </c>
      <c r="C15" s="26" t="str">
        <f aca="false">INDEX(Товары!$C$6:$C$17,MATCH($A15,Товары!$B$6:$B$17,0))</f>
        <v>Кружка керамическая</v>
      </c>
      <c r="D15" s="26" t="str">
        <f aca="false">INDEX(Товары!$D$6:$D$17,MATCH($A15,Товары!$B$6:$B$17,0))</f>
        <v>Посуда</v>
      </c>
      <c r="E15" s="27" t="n">
        <f aca="false">T15*(1+Допущения!$C$23)</f>
        <v>690</v>
      </c>
      <c r="F15" s="28" t="n">
        <f aca="false">INDEX(Товары!$F$6:$F$17,MATCH($A15,Товары!$B$6:$B$17,0))</f>
        <v>230</v>
      </c>
      <c r="G15" s="27" t="n">
        <f aca="false">E15*U15</f>
        <v>144.9</v>
      </c>
      <c r="H15" s="27" t="n">
        <f aca="false">(V15+W15*(1-P15))/P15</f>
        <v>107.941176470588</v>
      </c>
      <c r="I15" s="28" t="n">
        <f aca="false">INDEX(Допущения!$H$6:$H$8,MATCH($B15,Допущения!$B$6:$B$8,0))</f>
        <v>15</v>
      </c>
      <c r="J15" s="27" t="n">
        <f aca="false">E15*INDEX(Допущения!$G$6:$G$8,MATCH($B15,Допущения!$B$6:$B$8,0))*Допущения!$C$24</f>
        <v>69</v>
      </c>
      <c r="K15" s="27" t="n">
        <f aca="false">E15*Допущения!$C$11</f>
        <v>41.4</v>
      </c>
      <c r="L15" s="29" t="n">
        <f aca="false">E15-F15-G15-H15-I15-J15-K15</f>
        <v>81.7588235294118</v>
      </c>
      <c r="M15" s="15" t="n">
        <f aca="false">IFERROR(L15/E15,0)</f>
        <v>0.11849104859335</v>
      </c>
      <c r="N15" s="15" t="n">
        <f aca="false">IFERROR((E15-F15-G15-H15-I15-K15)/E15,0)</f>
        <v>0.21849104859335</v>
      </c>
      <c r="O15" s="30" t="n">
        <f aca="false">INDEX(Товары!$G$6:$G$17,MATCH($A15,Товары!$B$6:$B$17,0))*INDEX(Товары!$I$6:$I$17,MATCH($A15,Товары!$B$6:$B$17,0))*(1+Допущения!$C$26)</f>
        <v>315</v>
      </c>
      <c r="P15" s="15" t="n">
        <f aca="false">MAX(0.05,MIN(1,INDEX(Допущения!$F$6:$F$8,MATCH($B15,Допущения!$B$6:$B$8,0))+Допущения!$C$25))</f>
        <v>0.85</v>
      </c>
      <c r="Q15" s="30" t="n">
        <f aca="false">O15*P15</f>
        <v>267.75</v>
      </c>
      <c r="R15" s="27" t="n">
        <f aca="false">Q15*E15</f>
        <v>184747.5</v>
      </c>
      <c r="S15" s="29" t="n">
        <f aca="false">Q15*L15</f>
        <v>21890.925</v>
      </c>
      <c r="T15" s="31" t="n">
        <f aca="false">INDEX(Товары!$E$6:$E$17,MATCH($A15,Товары!$B$6:$B$17,0))</f>
        <v>690</v>
      </c>
      <c r="U15" s="32" t="n">
        <f aca="false">INDEX(Допущения!$C$6:$C$8,MATCH($B15,Допущения!$B$6:$B$8,0))</f>
        <v>0.21</v>
      </c>
      <c r="V15" s="31" t="n">
        <f aca="false">INDEX(Допущения!$D$6:$D$8,MATCH($B15,Допущения!$B$6:$B$8,0))</f>
        <v>85</v>
      </c>
      <c r="W15" s="31" t="n">
        <f aca="false">INDEX(Допущения!$E$6:$E$8,MATCH($B15,Допущения!$B$6:$B$8,0))</f>
        <v>45</v>
      </c>
    </row>
    <row r="16" customFormat="false" ht="15" hidden="false" customHeight="false" outlineLevel="0" collapsed="false">
      <c r="A16" s="11" t="s">
        <v>79</v>
      </c>
      <c r="B16" s="11" t="s">
        <v>29</v>
      </c>
      <c r="C16" s="26" t="str">
        <f aca="false">INDEX(Товары!$C$6:$C$17,MATCH($A16,Товары!$B$6:$B$17,0))</f>
        <v>Кружка керамическая</v>
      </c>
      <c r="D16" s="26" t="str">
        <f aca="false">INDEX(Товары!$D$6:$D$17,MATCH($A16,Товары!$B$6:$B$17,0))</f>
        <v>Посуда</v>
      </c>
      <c r="E16" s="27" t="n">
        <f aca="false">T16*(1+Допущения!$C$23)</f>
        <v>690</v>
      </c>
      <c r="F16" s="28" t="n">
        <f aca="false">INDEX(Товары!$F$6:$F$17,MATCH($A16,Товары!$B$6:$B$17,0))</f>
        <v>230</v>
      </c>
      <c r="G16" s="27" t="n">
        <f aca="false">E16*U16</f>
        <v>24.15</v>
      </c>
      <c r="H16" s="27" t="n">
        <f aca="false">(V16+W16*(1-P16))/P16</f>
        <v>176.842105263158</v>
      </c>
      <c r="I16" s="28" t="n">
        <f aca="false">INDEX(Допущения!$H$6:$H$8,MATCH($B16,Допущения!$B$6:$B$8,0))</f>
        <v>0</v>
      </c>
      <c r="J16" s="27" t="n">
        <f aca="false">E16*INDEX(Допущения!$G$6:$G$8,MATCH($B16,Допущения!$B$6:$B$8,0))*Допущения!$C$24</f>
        <v>89.7</v>
      </c>
      <c r="K16" s="27" t="n">
        <f aca="false">E16*Допущения!$C$11</f>
        <v>41.4</v>
      </c>
      <c r="L16" s="29" t="n">
        <f aca="false">E16-F16-G16-H16-I16-J16-K16</f>
        <v>127.907894736842</v>
      </c>
      <c r="M16" s="15" t="n">
        <f aca="false">IFERROR(L16/E16,0)</f>
        <v>0.185373760488177</v>
      </c>
      <c r="N16" s="15" t="n">
        <f aca="false">IFERROR((E16-F16-G16-H16-I16-K16)/E16,0)</f>
        <v>0.315373760488177</v>
      </c>
      <c r="O16" s="30" t="n">
        <f aca="false">INDEX(Товары!$G$6:$G$17,MATCH($A16,Товары!$B$6:$B$17,0))*INDEX(Товары!$J$6:$J$17,MATCH($A16,Товары!$B$6:$B$17,0))*(1+Допущения!$C$26)</f>
        <v>180</v>
      </c>
      <c r="P16" s="15" t="n">
        <f aca="false">MAX(0.05,MIN(1,INDEX(Допущения!$F$6:$F$8,MATCH($B16,Допущения!$B$6:$B$8,0))+Допущения!$C$25))</f>
        <v>0.95</v>
      </c>
      <c r="Q16" s="30" t="n">
        <f aca="false">O16*P16</f>
        <v>171</v>
      </c>
      <c r="R16" s="27" t="n">
        <f aca="false">Q16*E16</f>
        <v>117990</v>
      </c>
      <c r="S16" s="29" t="n">
        <f aca="false">Q16*L16</f>
        <v>21872.25</v>
      </c>
      <c r="T16" s="31" t="n">
        <f aca="false">INDEX(Товары!$E$6:$E$17,MATCH($A16,Товары!$B$6:$B$17,0))</f>
        <v>690</v>
      </c>
      <c r="U16" s="32" t="n">
        <f aca="false">INDEX(Допущения!$C$6:$C$8,MATCH($B16,Допущения!$B$6:$B$8,0))</f>
        <v>0.035</v>
      </c>
      <c r="V16" s="31" t="n">
        <f aca="false">INDEX(Допущения!$D$6:$D$8,MATCH($B16,Допущения!$B$6:$B$8,0))</f>
        <v>160</v>
      </c>
      <c r="W16" s="31" t="n">
        <f aca="false">INDEX(Допущения!$E$6:$E$8,MATCH($B16,Допущения!$B$6:$B$8,0))</f>
        <v>160</v>
      </c>
    </row>
    <row r="17" customFormat="false" ht="15" hidden="false" customHeight="false" outlineLevel="0" collapsed="false">
      <c r="A17" s="11" t="s">
        <v>82</v>
      </c>
      <c r="B17" s="11" t="s">
        <v>27</v>
      </c>
      <c r="C17" s="26" t="str">
        <f aca="false">INDEX(Товары!$C$6:$C$17,MATCH($A17,Товары!$B$6:$B$17,0))</f>
        <v>Набор тарелок</v>
      </c>
      <c r="D17" s="26" t="str">
        <f aca="false">INDEX(Товары!$D$6:$D$17,MATCH($A17,Товары!$B$6:$B$17,0))</f>
        <v>Посуда</v>
      </c>
      <c r="E17" s="27" t="n">
        <f aca="false">T17*(1+Допущения!$C$23)</f>
        <v>2890</v>
      </c>
      <c r="F17" s="28" t="n">
        <f aca="false">INDEX(Товары!$F$6:$F$17,MATCH($A17,Товары!$B$6:$B$17,0))</f>
        <v>1150</v>
      </c>
      <c r="G17" s="27" t="n">
        <f aca="false">E17*U17</f>
        <v>693.6</v>
      </c>
      <c r="H17" s="27" t="n">
        <f aca="false">(V17+W17*(1-P17))/P17</f>
        <v>132.051282051282</v>
      </c>
      <c r="I17" s="28" t="n">
        <f aca="false">INDEX(Допущения!$H$6:$H$8,MATCH($B17,Допущения!$B$6:$B$8,0))</f>
        <v>18</v>
      </c>
      <c r="J17" s="27" t="n">
        <f aca="false">E17*INDEX(Допущения!$G$6:$G$8,MATCH($B17,Допущения!$B$6:$B$8,0))*Допущения!$C$24</f>
        <v>346.8</v>
      </c>
      <c r="K17" s="27" t="n">
        <f aca="false">E17*Допущения!$C$11</f>
        <v>173.4</v>
      </c>
      <c r="L17" s="29" t="n">
        <f aca="false">E17-F17-G17-H17-I17-J17-K17</f>
        <v>376.148717948718</v>
      </c>
      <c r="M17" s="15" t="n">
        <f aca="false">IFERROR(L17/E17,0)</f>
        <v>0.1301552657262</v>
      </c>
      <c r="N17" s="15" t="n">
        <f aca="false">IFERROR((E17-F17-G17-H17-I17-K17)/E17,0)</f>
        <v>0.2501552657262</v>
      </c>
      <c r="O17" s="30" t="n">
        <f aca="false">INDEX(Товары!$G$6:$G$17,MATCH($A17,Товары!$B$6:$B$17,0))*INDEX(Товары!$H$6:$H$17,MATCH($A17,Товары!$B$6:$B$17,0))*(1+Допущения!$C$26)</f>
        <v>104</v>
      </c>
      <c r="P17" s="15" t="n">
        <f aca="false">MAX(0.05,MIN(1,INDEX(Допущения!$F$6:$F$8,MATCH($B17,Допущения!$B$6:$B$8,0))+Допущения!$C$25))</f>
        <v>0.78</v>
      </c>
      <c r="Q17" s="30" t="n">
        <f aca="false">O17*P17</f>
        <v>81.12</v>
      </c>
      <c r="R17" s="27" t="n">
        <f aca="false">Q17*E17</f>
        <v>234436.8</v>
      </c>
      <c r="S17" s="29" t="n">
        <f aca="false">Q17*L17</f>
        <v>30513.184</v>
      </c>
      <c r="T17" s="31" t="n">
        <f aca="false">INDEX(Товары!$E$6:$E$17,MATCH($A17,Товары!$B$6:$B$17,0))</f>
        <v>2890</v>
      </c>
      <c r="U17" s="32" t="n">
        <f aca="false">INDEX(Допущения!$C$6:$C$8,MATCH($B17,Допущения!$B$6:$B$8,0))</f>
        <v>0.24</v>
      </c>
      <c r="V17" s="31" t="n">
        <f aca="false">INDEX(Допущения!$D$6:$D$8,MATCH($B17,Допущения!$B$6:$B$8,0))</f>
        <v>92</v>
      </c>
      <c r="W17" s="31" t="n">
        <f aca="false">INDEX(Допущения!$E$6:$E$8,MATCH($B17,Допущения!$B$6:$B$8,0))</f>
        <v>50</v>
      </c>
    </row>
    <row r="18" customFormat="false" ht="15" hidden="false" customHeight="false" outlineLevel="0" collapsed="false">
      <c r="A18" s="11" t="s">
        <v>82</v>
      </c>
      <c r="B18" s="11" t="s">
        <v>28</v>
      </c>
      <c r="C18" s="26" t="str">
        <f aca="false">INDEX(Товары!$C$6:$C$17,MATCH($A18,Товары!$B$6:$B$17,0))</f>
        <v>Набор тарелок</v>
      </c>
      <c r="D18" s="26" t="str">
        <f aca="false">INDEX(Товары!$D$6:$D$17,MATCH($A18,Товары!$B$6:$B$17,0))</f>
        <v>Посуда</v>
      </c>
      <c r="E18" s="27" t="n">
        <f aca="false">T18*(1+Допущения!$C$23)</f>
        <v>2890</v>
      </c>
      <c r="F18" s="28" t="n">
        <f aca="false">INDEX(Товары!$F$6:$F$17,MATCH($A18,Товары!$B$6:$B$17,0))</f>
        <v>1150</v>
      </c>
      <c r="G18" s="27" t="n">
        <f aca="false">E18*U18</f>
        <v>606.9</v>
      </c>
      <c r="H18" s="27" t="n">
        <f aca="false">(V18+W18*(1-P18))/P18</f>
        <v>107.941176470588</v>
      </c>
      <c r="I18" s="28" t="n">
        <f aca="false">INDEX(Допущения!$H$6:$H$8,MATCH($B18,Допущения!$B$6:$B$8,0))</f>
        <v>15</v>
      </c>
      <c r="J18" s="27" t="n">
        <f aca="false">E18*INDEX(Допущения!$G$6:$G$8,MATCH($B18,Допущения!$B$6:$B$8,0))*Допущения!$C$24</f>
        <v>289</v>
      </c>
      <c r="K18" s="27" t="n">
        <f aca="false">E18*Допущения!$C$11</f>
        <v>173.4</v>
      </c>
      <c r="L18" s="29" t="n">
        <f aca="false">E18-F18-G18-H18-I18-J18-K18</f>
        <v>547.758823529412</v>
      </c>
      <c r="M18" s="15" t="n">
        <f aca="false">IFERROR(L18/E18,0)</f>
        <v>0.189535925096682</v>
      </c>
      <c r="N18" s="15" t="n">
        <f aca="false">IFERROR((E18-F18-G18-H18-I18-K18)/E18,0)</f>
        <v>0.289535925096682</v>
      </c>
      <c r="O18" s="30" t="n">
        <f aca="false">INDEX(Товары!$G$6:$G$17,MATCH($A18,Товары!$B$6:$B$17,0))*INDEX(Товары!$I$6:$I$17,MATCH($A18,Товары!$B$6:$B$17,0))*(1+Допущения!$C$26)</f>
        <v>91</v>
      </c>
      <c r="P18" s="15" t="n">
        <f aca="false">MAX(0.05,MIN(1,INDEX(Допущения!$F$6:$F$8,MATCH($B18,Допущения!$B$6:$B$8,0))+Допущения!$C$25))</f>
        <v>0.85</v>
      </c>
      <c r="Q18" s="30" t="n">
        <f aca="false">O18*P18</f>
        <v>77.35</v>
      </c>
      <c r="R18" s="27" t="n">
        <f aca="false">Q18*E18</f>
        <v>223541.5</v>
      </c>
      <c r="S18" s="29" t="n">
        <f aca="false">Q18*L18</f>
        <v>42369.145</v>
      </c>
      <c r="T18" s="31" t="n">
        <f aca="false">INDEX(Товары!$E$6:$E$17,MATCH($A18,Товары!$B$6:$B$17,0))</f>
        <v>2890</v>
      </c>
      <c r="U18" s="32" t="n">
        <f aca="false">INDEX(Допущения!$C$6:$C$8,MATCH($B18,Допущения!$B$6:$B$8,0))</f>
        <v>0.21</v>
      </c>
      <c r="V18" s="31" t="n">
        <f aca="false">INDEX(Допущения!$D$6:$D$8,MATCH($B18,Допущения!$B$6:$B$8,0))</f>
        <v>85</v>
      </c>
      <c r="W18" s="31" t="n">
        <f aca="false">INDEX(Допущения!$E$6:$E$8,MATCH($B18,Допущения!$B$6:$B$8,0))</f>
        <v>45</v>
      </c>
    </row>
    <row r="19" customFormat="false" ht="15" hidden="false" customHeight="false" outlineLevel="0" collapsed="false">
      <c r="A19" s="11" t="s">
        <v>82</v>
      </c>
      <c r="B19" s="11" t="s">
        <v>29</v>
      </c>
      <c r="C19" s="26" t="str">
        <f aca="false">INDEX(Товары!$C$6:$C$17,MATCH($A19,Товары!$B$6:$B$17,0))</f>
        <v>Набор тарелок</v>
      </c>
      <c r="D19" s="26" t="str">
        <f aca="false">INDEX(Товары!$D$6:$D$17,MATCH($A19,Товары!$B$6:$B$17,0))</f>
        <v>Посуда</v>
      </c>
      <c r="E19" s="27" t="n">
        <f aca="false">T19*(1+Допущения!$C$23)</f>
        <v>2890</v>
      </c>
      <c r="F19" s="28" t="n">
        <f aca="false">INDEX(Товары!$F$6:$F$17,MATCH($A19,Товары!$B$6:$B$17,0))</f>
        <v>1150</v>
      </c>
      <c r="G19" s="27" t="n">
        <f aca="false">E19*U19</f>
        <v>101.15</v>
      </c>
      <c r="H19" s="27" t="n">
        <f aca="false">(V19+W19*(1-P19))/P19</f>
        <v>176.842105263158</v>
      </c>
      <c r="I19" s="28" t="n">
        <f aca="false">INDEX(Допущения!$H$6:$H$8,MATCH($B19,Допущения!$B$6:$B$8,0))</f>
        <v>0</v>
      </c>
      <c r="J19" s="27" t="n">
        <f aca="false">E19*INDEX(Допущения!$G$6:$G$8,MATCH($B19,Допущения!$B$6:$B$8,0))*Допущения!$C$24</f>
        <v>375.7</v>
      </c>
      <c r="K19" s="27" t="n">
        <f aca="false">E19*Допущения!$C$11</f>
        <v>173.4</v>
      </c>
      <c r="L19" s="29" t="n">
        <f aca="false">E19-F19-G19-H19-I19-J19-K19</f>
        <v>912.907894736842</v>
      </c>
      <c r="M19" s="15" t="n">
        <f aca="false">IFERROR(L19/E19,0)</f>
        <v>0.315885084684028</v>
      </c>
      <c r="N19" s="15" t="n">
        <f aca="false">IFERROR((E19-F19-G19-H19-I19-K19)/E19,0)</f>
        <v>0.445885084684028</v>
      </c>
      <c r="O19" s="30" t="n">
        <f aca="false">INDEX(Товары!$G$6:$G$17,MATCH($A19,Товары!$B$6:$B$17,0))*INDEX(Товары!$J$6:$J$17,MATCH($A19,Товары!$B$6:$B$17,0))*(1+Допущения!$C$26)</f>
        <v>65</v>
      </c>
      <c r="P19" s="15" t="n">
        <f aca="false">MAX(0.05,MIN(1,INDEX(Допущения!$F$6:$F$8,MATCH($B19,Допущения!$B$6:$B$8,0))+Допущения!$C$25))</f>
        <v>0.95</v>
      </c>
      <c r="Q19" s="30" t="n">
        <f aca="false">O19*P19</f>
        <v>61.75</v>
      </c>
      <c r="R19" s="27" t="n">
        <f aca="false">Q19*E19</f>
        <v>178457.5</v>
      </c>
      <c r="S19" s="29" t="n">
        <f aca="false">Q19*L19</f>
        <v>56372.0625</v>
      </c>
      <c r="T19" s="31" t="n">
        <f aca="false">INDEX(Товары!$E$6:$E$17,MATCH($A19,Товары!$B$6:$B$17,0))</f>
        <v>2890</v>
      </c>
      <c r="U19" s="32" t="n">
        <f aca="false">INDEX(Допущения!$C$6:$C$8,MATCH($B19,Допущения!$B$6:$B$8,0))</f>
        <v>0.035</v>
      </c>
      <c r="V19" s="31" t="n">
        <f aca="false">INDEX(Допущения!$D$6:$D$8,MATCH($B19,Допущения!$B$6:$B$8,0))</f>
        <v>160</v>
      </c>
      <c r="W19" s="31" t="n">
        <f aca="false">INDEX(Допущения!$E$6:$E$8,MATCH($B19,Допущения!$B$6:$B$8,0))</f>
        <v>160</v>
      </c>
    </row>
    <row r="20" customFormat="false" ht="15" hidden="false" customHeight="false" outlineLevel="0" collapsed="false">
      <c r="A20" s="11" t="s">
        <v>84</v>
      </c>
      <c r="B20" s="11" t="s">
        <v>27</v>
      </c>
      <c r="C20" s="26" t="str">
        <f aca="false">INDEX(Товары!$C$6:$C$17,MATCH($A20,Товары!$B$6:$B$17,0))</f>
        <v>Френч-пресс</v>
      </c>
      <c r="D20" s="26" t="str">
        <f aca="false">INDEX(Товары!$D$6:$D$17,MATCH($A20,Товары!$B$6:$B$17,0))</f>
        <v>Посуда</v>
      </c>
      <c r="E20" s="27" t="n">
        <f aca="false">T20*(1+Допущения!$C$23)</f>
        <v>1490</v>
      </c>
      <c r="F20" s="28" t="n">
        <f aca="false">INDEX(Товары!$F$6:$F$17,MATCH($A20,Товары!$B$6:$B$17,0))</f>
        <v>560</v>
      </c>
      <c r="G20" s="27" t="n">
        <f aca="false">E20*U20</f>
        <v>357.6</v>
      </c>
      <c r="H20" s="27" t="n">
        <f aca="false">(V20+W20*(1-P20))/P20</f>
        <v>132.051282051282</v>
      </c>
      <c r="I20" s="28" t="n">
        <f aca="false">INDEX(Допущения!$H$6:$H$8,MATCH($B20,Допущения!$B$6:$B$8,0))</f>
        <v>18</v>
      </c>
      <c r="J20" s="27" t="n">
        <f aca="false">E20*INDEX(Допущения!$G$6:$G$8,MATCH($B20,Допущения!$B$6:$B$8,0))*Допущения!$C$24</f>
        <v>178.8</v>
      </c>
      <c r="K20" s="27" t="n">
        <f aca="false">E20*Допущения!$C$11</f>
        <v>89.4</v>
      </c>
      <c r="L20" s="29" t="n">
        <f aca="false">E20-F20-G20-H20-I20-J20-K20</f>
        <v>154.148717948718</v>
      </c>
      <c r="M20" s="15" t="n">
        <f aca="false">IFERROR(L20/E20,0)</f>
        <v>0.103455515401824</v>
      </c>
      <c r="N20" s="15" t="n">
        <f aca="false">IFERROR((E20-F20-G20-H20-I20-K20)/E20,0)</f>
        <v>0.223455515401824</v>
      </c>
      <c r="O20" s="30" t="n">
        <f aca="false">INDEX(Товары!$G$6:$G$17,MATCH($A20,Товары!$B$6:$B$17,0))*INDEX(Товары!$H$6:$H$17,MATCH($A20,Товары!$B$6:$B$17,0))*(1+Допущения!$C$26)</f>
        <v>171</v>
      </c>
      <c r="P20" s="15" t="n">
        <f aca="false">MAX(0.05,MIN(1,INDEX(Допущения!$F$6:$F$8,MATCH($B20,Допущения!$B$6:$B$8,0))+Допущения!$C$25))</f>
        <v>0.78</v>
      </c>
      <c r="Q20" s="30" t="n">
        <f aca="false">O20*P20</f>
        <v>133.38</v>
      </c>
      <c r="R20" s="27" t="n">
        <f aca="false">Q20*E20</f>
        <v>198736.2</v>
      </c>
      <c r="S20" s="29" t="n">
        <f aca="false">Q20*L20</f>
        <v>20560.356</v>
      </c>
      <c r="T20" s="31" t="n">
        <f aca="false">INDEX(Товары!$E$6:$E$17,MATCH($A20,Товары!$B$6:$B$17,0))</f>
        <v>1490</v>
      </c>
      <c r="U20" s="32" t="n">
        <f aca="false">INDEX(Допущения!$C$6:$C$8,MATCH($B20,Допущения!$B$6:$B$8,0))</f>
        <v>0.24</v>
      </c>
      <c r="V20" s="31" t="n">
        <f aca="false">INDEX(Допущения!$D$6:$D$8,MATCH($B20,Допущения!$B$6:$B$8,0))</f>
        <v>92</v>
      </c>
      <c r="W20" s="31" t="n">
        <f aca="false">INDEX(Допущения!$E$6:$E$8,MATCH($B20,Допущения!$B$6:$B$8,0))</f>
        <v>50</v>
      </c>
    </row>
    <row r="21" customFormat="false" ht="15" hidden="false" customHeight="false" outlineLevel="0" collapsed="false">
      <c r="A21" s="11" t="s">
        <v>84</v>
      </c>
      <c r="B21" s="11" t="s">
        <v>28</v>
      </c>
      <c r="C21" s="26" t="str">
        <f aca="false">INDEX(Товары!$C$6:$C$17,MATCH($A21,Товары!$B$6:$B$17,0))</f>
        <v>Френч-пресс</v>
      </c>
      <c r="D21" s="26" t="str">
        <f aca="false">INDEX(Товары!$D$6:$D$17,MATCH($A21,Товары!$B$6:$B$17,0))</f>
        <v>Посуда</v>
      </c>
      <c r="E21" s="27" t="n">
        <f aca="false">T21*(1+Допущения!$C$23)</f>
        <v>1490</v>
      </c>
      <c r="F21" s="28" t="n">
        <f aca="false">INDEX(Товары!$F$6:$F$17,MATCH($A21,Товары!$B$6:$B$17,0))</f>
        <v>560</v>
      </c>
      <c r="G21" s="27" t="n">
        <f aca="false">E21*U21</f>
        <v>312.9</v>
      </c>
      <c r="H21" s="27" t="n">
        <f aca="false">(V21+W21*(1-P21))/P21</f>
        <v>107.941176470588</v>
      </c>
      <c r="I21" s="28" t="n">
        <f aca="false">INDEX(Допущения!$H$6:$H$8,MATCH($B21,Допущения!$B$6:$B$8,0))</f>
        <v>15</v>
      </c>
      <c r="J21" s="27" t="n">
        <f aca="false">E21*INDEX(Допущения!$G$6:$G$8,MATCH($B21,Допущения!$B$6:$B$8,0))*Допущения!$C$24</f>
        <v>149</v>
      </c>
      <c r="K21" s="27" t="n">
        <f aca="false">E21*Допущения!$C$11</f>
        <v>89.4</v>
      </c>
      <c r="L21" s="29" t="n">
        <f aca="false">E21-F21-G21-H21-I21-J21-K21</f>
        <v>255.758823529412</v>
      </c>
      <c r="M21" s="15" t="n">
        <f aca="false">IFERROR(L21/E21,0)</f>
        <v>0.171650217133833</v>
      </c>
      <c r="N21" s="15" t="n">
        <f aca="false">IFERROR((E21-F21-G21-H21-I21-K21)/E21,0)</f>
        <v>0.271650217133833</v>
      </c>
      <c r="O21" s="30" t="n">
        <f aca="false">INDEX(Товары!$G$6:$G$17,MATCH($A21,Товары!$B$6:$B$17,0))*INDEX(Товары!$I$6:$I$17,MATCH($A21,Товары!$B$6:$B$17,0))*(1+Допущения!$C$26)</f>
        <v>133</v>
      </c>
      <c r="P21" s="15" t="n">
        <f aca="false">MAX(0.05,MIN(1,INDEX(Допущения!$F$6:$F$8,MATCH($B21,Допущения!$B$6:$B$8,0))+Допущения!$C$25))</f>
        <v>0.85</v>
      </c>
      <c r="Q21" s="30" t="n">
        <f aca="false">O21*P21</f>
        <v>113.05</v>
      </c>
      <c r="R21" s="27" t="n">
        <f aca="false">Q21*E21</f>
        <v>168444.5</v>
      </c>
      <c r="S21" s="29" t="n">
        <f aca="false">Q21*L21</f>
        <v>28913.535</v>
      </c>
      <c r="T21" s="31" t="n">
        <f aca="false">INDEX(Товары!$E$6:$E$17,MATCH($A21,Товары!$B$6:$B$17,0))</f>
        <v>1490</v>
      </c>
      <c r="U21" s="32" t="n">
        <f aca="false">INDEX(Допущения!$C$6:$C$8,MATCH($B21,Допущения!$B$6:$B$8,0))</f>
        <v>0.21</v>
      </c>
      <c r="V21" s="31" t="n">
        <f aca="false">INDEX(Допущения!$D$6:$D$8,MATCH($B21,Допущения!$B$6:$B$8,0))</f>
        <v>85</v>
      </c>
      <c r="W21" s="31" t="n">
        <f aca="false">INDEX(Допущения!$E$6:$E$8,MATCH($B21,Допущения!$B$6:$B$8,0))</f>
        <v>45</v>
      </c>
    </row>
    <row r="22" customFormat="false" ht="15" hidden="false" customHeight="false" outlineLevel="0" collapsed="false">
      <c r="A22" s="11" t="s">
        <v>84</v>
      </c>
      <c r="B22" s="11" t="s">
        <v>29</v>
      </c>
      <c r="C22" s="26" t="str">
        <f aca="false">INDEX(Товары!$C$6:$C$17,MATCH($A22,Товары!$B$6:$B$17,0))</f>
        <v>Френч-пресс</v>
      </c>
      <c r="D22" s="26" t="str">
        <f aca="false">INDEX(Товары!$D$6:$D$17,MATCH($A22,Товары!$B$6:$B$17,0))</f>
        <v>Посуда</v>
      </c>
      <c r="E22" s="27" t="n">
        <f aca="false">T22*(1+Допущения!$C$23)</f>
        <v>1490</v>
      </c>
      <c r="F22" s="28" t="n">
        <f aca="false">INDEX(Товары!$F$6:$F$17,MATCH($A22,Товары!$B$6:$B$17,0))</f>
        <v>560</v>
      </c>
      <c r="G22" s="27" t="n">
        <f aca="false">E22*U22</f>
        <v>52.15</v>
      </c>
      <c r="H22" s="27" t="n">
        <f aca="false">(V22+W22*(1-P22))/P22</f>
        <v>176.842105263158</v>
      </c>
      <c r="I22" s="28" t="n">
        <f aca="false">INDEX(Допущения!$H$6:$H$8,MATCH($B22,Допущения!$B$6:$B$8,0))</f>
        <v>0</v>
      </c>
      <c r="J22" s="27" t="n">
        <f aca="false">E22*INDEX(Допущения!$G$6:$G$8,MATCH($B22,Допущения!$B$6:$B$8,0))*Допущения!$C$24</f>
        <v>193.7</v>
      </c>
      <c r="K22" s="27" t="n">
        <f aca="false">E22*Допущения!$C$11</f>
        <v>89.4</v>
      </c>
      <c r="L22" s="29" t="n">
        <f aca="false">E22-F22-G22-H22-I22-J22-K22</f>
        <v>417.907894736842</v>
      </c>
      <c r="M22" s="15" t="n">
        <f aca="false">IFERROR(L22/E22,0)</f>
        <v>0.28047509713882</v>
      </c>
      <c r="N22" s="15" t="n">
        <f aca="false">IFERROR((E22-F22-G22-H22-I22-K22)/E22,0)</f>
        <v>0.41047509713882</v>
      </c>
      <c r="O22" s="30" t="n">
        <f aca="false">INDEX(Товары!$G$6:$G$17,MATCH($A22,Товары!$B$6:$B$17,0))*INDEX(Товары!$J$6:$J$17,MATCH($A22,Товары!$B$6:$B$17,0))*(1+Допущения!$C$26)</f>
        <v>76</v>
      </c>
      <c r="P22" s="15" t="n">
        <f aca="false">MAX(0.05,MIN(1,INDEX(Допущения!$F$6:$F$8,MATCH($B22,Допущения!$B$6:$B$8,0))+Допущения!$C$25))</f>
        <v>0.95</v>
      </c>
      <c r="Q22" s="30" t="n">
        <f aca="false">O22*P22</f>
        <v>72.2</v>
      </c>
      <c r="R22" s="27" t="n">
        <f aca="false">Q22*E22</f>
        <v>107578</v>
      </c>
      <c r="S22" s="29" t="n">
        <f aca="false">Q22*L22</f>
        <v>30172.95</v>
      </c>
      <c r="T22" s="31" t="n">
        <f aca="false">INDEX(Товары!$E$6:$E$17,MATCH($A22,Товары!$B$6:$B$17,0))</f>
        <v>1490</v>
      </c>
      <c r="U22" s="32" t="n">
        <f aca="false">INDEX(Допущения!$C$6:$C$8,MATCH($B22,Допущения!$B$6:$B$8,0))</f>
        <v>0.035</v>
      </c>
      <c r="V22" s="31" t="n">
        <f aca="false">INDEX(Допущения!$D$6:$D$8,MATCH($B22,Допущения!$B$6:$B$8,0))</f>
        <v>160</v>
      </c>
      <c r="W22" s="31" t="n">
        <f aca="false">INDEX(Допущения!$E$6:$E$8,MATCH($B22,Допущения!$B$6:$B$8,0))</f>
        <v>160</v>
      </c>
    </row>
    <row r="23" customFormat="false" ht="15" hidden="false" customHeight="false" outlineLevel="0" collapsed="false">
      <c r="A23" s="11" t="s">
        <v>86</v>
      </c>
      <c r="B23" s="11" t="s">
        <v>27</v>
      </c>
      <c r="C23" s="26" t="str">
        <f aca="false">INDEX(Товары!$C$6:$C$17,MATCH($A23,Товары!$B$6:$B$17,0))</f>
        <v>Органайзер для ящика</v>
      </c>
      <c r="D23" s="26" t="str">
        <f aca="false">INDEX(Товары!$D$6:$D$17,MATCH($A23,Товары!$B$6:$B$17,0))</f>
        <v>Хранение</v>
      </c>
      <c r="E23" s="27" t="n">
        <f aca="false">T23*(1+Допущения!$C$23)</f>
        <v>590</v>
      </c>
      <c r="F23" s="28" t="n">
        <f aca="false">INDEX(Товары!$F$6:$F$17,MATCH($A23,Товары!$B$6:$B$17,0))</f>
        <v>260</v>
      </c>
      <c r="G23" s="27" t="n">
        <f aca="false">E23*U23</f>
        <v>141.6</v>
      </c>
      <c r="H23" s="27" t="n">
        <f aca="false">(V23+W23*(1-P23))/P23</f>
        <v>132.051282051282</v>
      </c>
      <c r="I23" s="28" t="n">
        <f aca="false">INDEX(Допущения!$H$6:$H$8,MATCH($B23,Допущения!$B$6:$B$8,0))</f>
        <v>18</v>
      </c>
      <c r="J23" s="27" t="n">
        <f aca="false">E23*INDEX(Допущения!$G$6:$G$8,MATCH($B23,Допущения!$B$6:$B$8,0))*Допущения!$C$24</f>
        <v>70.8</v>
      </c>
      <c r="K23" s="27" t="n">
        <f aca="false">E23*Допущения!$C$11</f>
        <v>35.4</v>
      </c>
      <c r="L23" s="29" t="n">
        <f aca="false">E23-F23-G23-H23-I23-J23-K23</f>
        <v>-67.851282051282</v>
      </c>
      <c r="M23" s="15" t="n">
        <f aca="false">IFERROR(L23/E23,0)</f>
        <v>-0.115002172968275</v>
      </c>
      <c r="N23" s="15" t="n">
        <f aca="false">IFERROR((E23-F23-G23-H23-I23-K23)/E23,0)</f>
        <v>0.00499782703172536</v>
      </c>
      <c r="O23" s="30" t="n">
        <f aca="false">INDEX(Товары!$G$6:$G$17,MATCH($A23,Товары!$B$6:$B$17,0))*INDEX(Товары!$H$6:$H$17,MATCH($A23,Товары!$B$6:$B$17,0))*(1+Допущения!$C$26)</f>
        <v>286</v>
      </c>
      <c r="P23" s="15" t="n">
        <f aca="false">MAX(0.05,MIN(1,INDEX(Допущения!$F$6:$F$8,MATCH($B23,Допущения!$B$6:$B$8,0))+Допущения!$C$25))</f>
        <v>0.78</v>
      </c>
      <c r="Q23" s="30" t="n">
        <f aca="false">O23*P23</f>
        <v>223.08</v>
      </c>
      <c r="R23" s="27" t="n">
        <f aca="false">Q23*E23</f>
        <v>131617.2</v>
      </c>
      <c r="S23" s="29" t="n">
        <f aca="false">Q23*L23</f>
        <v>-15136.264</v>
      </c>
      <c r="T23" s="31" t="n">
        <f aca="false">INDEX(Товары!$E$6:$E$17,MATCH($A23,Товары!$B$6:$B$17,0))</f>
        <v>590</v>
      </c>
      <c r="U23" s="32" t="n">
        <f aca="false">INDEX(Допущения!$C$6:$C$8,MATCH($B23,Допущения!$B$6:$B$8,0))</f>
        <v>0.24</v>
      </c>
      <c r="V23" s="31" t="n">
        <f aca="false">INDEX(Допущения!$D$6:$D$8,MATCH($B23,Допущения!$B$6:$B$8,0))</f>
        <v>92</v>
      </c>
      <c r="W23" s="31" t="n">
        <f aca="false">INDEX(Допущения!$E$6:$E$8,MATCH($B23,Допущения!$B$6:$B$8,0))</f>
        <v>50</v>
      </c>
    </row>
    <row r="24" customFormat="false" ht="15" hidden="false" customHeight="false" outlineLevel="0" collapsed="false">
      <c r="A24" s="11" t="s">
        <v>86</v>
      </c>
      <c r="B24" s="11" t="s">
        <v>28</v>
      </c>
      <c r="C24" s="26" t="str">
        <f aca="false">INDEX(Товары!$C$6:$C$17,MATCH($A24,Товары!$B$6:$B$17,0))</f>
        <v>Органайзер для ящика</v>
      </c>
      <c r="D24" s="26" t="str">
        <f aca="false">INDEX(Товары!$D$6:$D$17,MATCH($A24,Товары!$B$6:$B$17,0))</f>
        <v>Хранение</v>
      </c>
      <c r="E24" s="27" t="n">
        <f aca="false">T24*(1+Допущения!$C$23)</f>
        <v>590</v>
      </c>
      <c r="F24" s="28" t="n">
        <f aca="false">INDEX(Товары!$F$6:$F$17,MATCH($A24,Товары!$B$6:$B$17,0))</f>
        <v>260</v>
      </c>
      <c r="G24" s="27" t="n">
        <f aca="false">E24*U24</f>
        <v>123.9</v>
      </c>
      <c r="H24" s="27" t="n">
        <f aca="false">(V24+W24*(1-P24))/P24</f>
        <v>107.941176470588</v>
      </c>
      <c r="I24" s="28" t="n">
        <f aca="false">INDEX(Допущения!$H$6:$H$8,MATCH($B24,Допущения!$B$6:$B$8,0))</f>
        <v>15</v>
      </c>
      <c r="J24" s="27" t="n">
        <f aca="false">E24*INDEX(Допущения!$G$6:$G$8,MATCH($B24,Допущения!$B$6:$B$8,0))*Допущения!$C$24</f>
        <v>59</v>
      </c>
      <c r="K24" s="27" t="n">
        <f aca="false">E24*Допущения!$C$11</f>
        <v>35.4</v>
      </c>
      <c r="L24" s="29" t="n">
        <f aca="false">E24-F24-G24-H24-I24-J24-K24</f>
        <v>-11.2411764705882</v>
      </c>
      <c r="M24" s="15" t="n">
        <f aca="false">IFERROR(L24/E24,0)</f>
        <v>-0.0190528414755732</v>
      </c>
      <c r="N24" s="15" t="n">
        <f aca="false">IFERROR((E24-F24-G24-H24-I24-K24)/E24,0)</f>
        <v>0.0809471585244268</v>
      </c>
      <c r="O24" s="30" t="n">
        <f aca="false">INDEX(Товары!$G$6:$G$17,MATCH($A24,Товары!$B$6:$B$17,0))*INDEX(Товары!$I$6:$I$17,MATCH($A24,Товары!$B$6:$B$17,0))*(1+Допущения!$C$26)</f>
        <v>156</v>
      </c>
      <c r="P24" s="15" t="n">
        <f aca="false">MAX(0.05,MIN(1,INDEX(Допущения!$F$6:$F$8,MATCH($B24,Допущения!$B$6:$B$8,0))+Допущения!$C$25))</f>
        <v>0.85</v>
      </c>
      <c r="Q24" s="30" t="n">
        <f aca="false">O24*P24</f>
        <v>132.6</v>
      </c>
      <c r="R24" s="27" t="n">
        <f aca="false">Q24*E24</f>
        <v>78234</v>
      </c>
      <c r="S24" s="29" t="n">
        <f aca="false">Q24*L24</f>
        <v>-1490.58</v>
      </c>
      <c r="T24" s="31" t="n">
        <f aca="false">INDEX(Товары!$E$6:$E$17,MATCH($A24,Товары!$B$6:$B$17,0))</f>
        <v>590</v>
      </c>
      <c r="U24" s="32" t="n">
        <f aca="false">INDEX(Допущения!$C$6:$C$8,MATCH($B24,Допущения!$B$6:$B$8,0))</f>
        <v>0.21</v>
      </c>
      <c r="V24" s="31" t="n">
        <f aca="false">INDEX(Допущения!$D$6:$D$8,MATCH($B24,Допущения!$B$6:$B$8,0))</f>
        <v>85</v>
      </c>
      <c r="W24" s="31" t="n">
        <f aca="false">INDEX(Допущения!$E$6:$E$8,MATCH($B24,Допущения!$B$6:$B$8,0))</f>
        <v>45</v>
      </c>
    </row>
    <row r="25" customFormat="false" ht="15" hidden="false" customHeight="false" outlineLevel="0" collapsed="false">
      <c r="A25" s="11" t="s">
        <v>86</v>
      </c>
      <c r="B25" s="11" t="s">
        <v>29</v>
      </c>
      <c r="C25" s="26" t="str">
        <f aca="false">INDEX(Товары!$C$6:$C$17,MATCH($A25,Товары!$B$6:$B$17,0))</f>
        <v>Органайзер для ящика</v>
      </c>
      <c r="D25" s="26" t="str">
        <f aca="false">INDEX(Товары!$D$6:$D$17,MATCH($A25,Товары!$B$6:$B$17,0))</f>
        <v>Хранение</v>
      </c>
      <c r="E25" s="27" t="n">
        <f aca="false">T25*(1+Допущения!$C$23)</f>
        <v>590</v>
      </c>
      <c r="F25" s="28" t="n">
        <f aca="false">INDEX(Товары!$F$6:$F$17,MATCH($A25,Товары!$B$6:$B$17,0))</f>
        <v>260</v>
      </c>
      <c r="G25" s="27" t="n">
        <f aca="false">E25*U25</f>
        <v>20.65</v>
      </c>
      <c r="H25" s="27" t="n">
        <f aca="false">(V25+W25*(1-P25))/P25</f>
        <v>176.842105263158</v>
      </c>
      <c r="I25" s="28" t="n">
        <f aca="false">INDEX(Допущения!$H$6:$H$8,MATCH($B25,Допущения!$B$6:$B$8,0))</f>
        <v>0</v>
      </c>
      <c r="J25" s="27" t="n">
        <f aca="false">E25*INDEX(Допущения!$G$6:$G$8,MATCH($B25,Допущения!$B$6:$B$8,0))*Допущения!$C$24</f>
        <v>76.7</v>
      </c>
      <c r="K25" s="27" t="n">
        <f aca="false">E25*Допущения!$C$11</f>
        <v>35.4</v>
      </c>
      <c r="L25" s="29" t="n">
        <f aca="false">E25-F25-G25-H25-I25-J25-K25</f>
        <v>20.4078947368421</v>
      </c>
      <c r="M25" s="15" t="n">
        <f aca="false">IFERROR(L25/E25,0)</f>
        <v>0.0345896520963426</v>
      </c>
      <c r="N25" s="15" t="n">
        <f aca="false">IFERROR((E25-F25-G25-H25-I25-K25)/E25,0)</f>
        <v>0.164589652096343</v>
      </c>
      <c r="O25" s="30" t="n">
        <f aca="false">INDEX(Товары!$G$6:$G$17,MATCH($A25,Товары!$B$6:$B$17,0))*INDEX(Товары!$J$6:$J$17,MATCH($A25,Товары!$B$6:$B$17,0))*(1+Допущения!$C$26)</f>
        <v>78</v>
      </c>
      <c r="P25" s="15" t="n">
        <f aca="false">MAX(0.05,MIN(1,INDEX(Допущения!$F$6:$F$8,MATCH($B25,Допущения!$B$6:$B$8,0))+Допущения!$C$25))</f>
        <v>0.95</v>
      </c>
      <c r="Q25" s="30" t="n">
        <f aca="false">O25*P25</f>
        <v>74.1</v>
      </c>
      <c r="R25" s="27" t="n">
        <f aca="false">Q25*E25</f>
        <v>43719</v>
      </c>
      <c r="S25" s="29" t="n">
        <f aca="false">Q25*L25</f>
        <v>1512.225</v>
      </c>
      <c r="T25" s="31" t="n">
        <f aca="false">INDEX(Товары!$E$6:$E$17,MATCH($A25,Товары!$B$6:$B$17,0))</f>
        <v>590</v>
      </c>
      <c r="U25" s="32" t="n">
        <f aca="false">INDEX(Допущения!$C$6:$C$8,MATCH($B25,Допущения!$B$6:$B$8,0))</f>
        <v>0.035</v>
      </c>
      <c r="V25" s="31" t="n">
        <f aca="false">INDEX(Допущения!$D$6:$D$8,MATCH($B25,Допущения!$B$6:$B$8,0))</f>
        <v>160</v>
      </c>
      <c r="W25" s="31" t="n">
        <f aca="false">INDEX(Допущения!$E$6:$E$8,MATCH($B25,Допущения!$B$6:$B$8,0))</f>
        <v>160</v>
      </c>
    </row>
    <row r="26" customFormat="false" ht="15" hidden="false" customHeight="false" outlineLevel="0" collapsed="false">
      <c r="A26" s="11" t="s">
        <v>89</v>
      </c>
      <c r="B26" s="11" t="s">
        <v>27</v>
      </c>
      <c r="C26" s="26" t="str">
        <f aca="false">INDEX(Товары!$C$6:$C$17,MATCH($A26,Товары!$B$6:$B$17,0))</f>
        <v>Корзина плетёная</v>
      </c>
      <c r="D26" s="26" t="str">
        <f aca="false">INDEX(Товары!$D$6:$D$17,MATCH($A26,Товары!$B$6:$B$17,0))</f>
        <v>Хранение</v>
      </c>
      <c r="E26" s="27" t="n">
        <f aca="false">T26*(1+Допущения!$C$23)</f>
        <v>690</v>
      </c>
      <c r="F26" s="28" t="n">
        <f aca="false">INDEX(Товары!$F$6:$F$17,MATCH($A26,Товары!$B$6:$B$17,0))</f>
        <v>380</v>
      </c>
      <c r="G26" s="27" t="n">
        <f aca="false">E26*U26</f>
        <v>165.6</v>
      </c>
      <c r="H26" s="27" t="n">
        <f aca="false">(V26+W26*(1-P26))/P26</f>
        <v>132.051282051282</v>
      </c>
      <c r="I26" s="28" t="n">
        <f aca="false">INDEX(Допущения!$H$6:$H$8,MATCH($B26,Допущения!$B$6:$B$8,0))</f>
        <v>18</v>
      </c>
      <c r="J26" s="27" t="n">
        <f aca="false">E26*INDEX(Допущения!$G$6:$G$8,MATCH($B26,Допущения!$B$6:$B$8,0))*Допущения!$C$24</f>
        <v>82.8</v>
      </c>
      <c r="K26" s="27" t="n">
        <f aca="false">E26*Допущения!$C$11</f>
        <v>41.4</v>
      </c>
      <c r="L26" s="29" t="n">
        <f aca="false">E26-F26-G26-H26-I26-J26-K26</f>
        <v>-129.851282051282</v>
      </c>
      <c r="M26" s="15" t="n">
        <f aca="false">IFERROR(L26/E26,0)</f>
        <v>-0.188190263842438</v>
      </c>
      <c r="N26" s="15" t="n">
        <f aca="false">IFERROR((E26-F26-G26-H26-I26-K26)/E26,0)</f>
        <v>-0.0681902638424377</v>
      </c>
      <c r="O26" s="30" t="n">
        <f aca="false">INDEX(Товары!$G$6:$G$17,MATCH($A26,Товары!$B$6:$B$17,0))*INDEX(Товары!$H$6:$H$17,MATCH($A26,Товары!$B$6:$B$17,0))*(1+Допущения!$C$26)</f>
        <v>264</v>
      </c>
      <c r="P26" s="15" t="n">
        <f aca="false">MAX(0.05,MIN(1,INDEX(Допущения!$F$6:$F$8,MATCH($B26,Допущения!$B$6:$B$8,0))+Допущения!$C$25))</f>
        <v>0.78</v>
      </c>
      <c r="Q26" s="30" t="n">
        <f aca="false">O26*P26</f>
        <v>205.92</v>
      </c>
      <c r="R26" s="27" t="n">
        <f aca="false">Q26*E26</f>
        <v>142084.8</v>
      </c>
      <c r="S26" s="29" t="n">
        <f aca="false">Q26*L26</f>
        <v>-26738.976</v>
      </c>
      <c r="T26" s="31" t="n">
        <f aca="false">INDEX(Товары!$E$6:$E$17,MATCH($A26,Товары!$B$6:$B$17,0))</f>
        <v>690</v>
      </c>
      <c r="U26" s="32" t="n">
        <f aca="false">INDEX(Допущения!$C$6:$C$8,MATCH($B26,Допущения!$B$6:$B$8,0))</f>
        <v>0.24</v>
      </c>
      <c r="V26" s="31" t="n">
        <f aca="false">INDEX(Допущения!$D$6:$D$8,MATCH($B26,Допущения!$B$6:$B$8,0))</f>
        <v>92</v>
      </c>
      <c r="W26" s="31" t="n">
        <f aca="false">INDEX(Допущения!$E$6:$E$8,MATCH($B26,Допущения!$B$6:$B$8,0))</f>
        <v>50</v>
      </c>
    </row>
    <row r="27" customFormat="false" ht="15" hidden="false" customHeight="false" outlineLevel="0" collapsed="false">
      <c r="A27" s="11" t="s">
        <v>89</v>
      </c>
      <c r="B27" s="11" t="s">
        <v>28</v>
      </c>
      <c r="C27" s="26" t="str">
        <f aca="false">INDEX(Товары!$C$6:$C$17,MATCH($A27,Товары!$B$6:$B$17,0))</f>
        <v>Корзина плетёная</v>
      </c>
      <c r="D27" s="26" t="str">
        <f aca="false">INDEX(Товары!$D$6:$D$17,MATCH($A27,Товары!$B$6:$B$17,0))</f>
        <v>Хранение</v>
      </c>
      <c r="E27" s="27" t="n">
        <f aca="false">T27*(1+Допущения!$C$23)</f>
        <v>690</v>
      </c>
      <c r="F27" s="28" t="n">
        <f aca="false">INDEX(Товары!$F$6:$F$17,MATCH($A27,Товары!$B$6:$B$17,0))</f>
        <v>380</v>
      </c>
      <c r="G27" s="27" t="n">
        <f aca="false">E27*U27</f>
        <v>144.9</v>
      </c>
      <c r="H27" s="27" t="n">
        <f aca="false">(V27+W27*(1-P27))/P27</f>
        <v>107.941176470588</v>
      </c>
      <c r="I27" s="28" t="n">
        <f aca="false">INDEX(Допущения!$H$6:$H$8,MATCH($B27,Допущения!$B$6:$B$8,0))</f>
        <v>15</v>
      </c>
      <c r="J27" s="27" t="n">
        <f aca="false">E27*INDEX(Допущения!$G$6:$G$8,MATCH($B27,Допущения!$B$6:$B$8,0))*Допущения!$C$24</f>
        <v>69</v>
      </c>
      <c r="K27" s="27" t="n">
        <f aca="false">E27*Допущения!$C$11</f>
        <v>41.4</v>
      </c>
      <c r="L27" s="29" t="n">
        <f aca="false">E27-F27-G27-H27-I27-J27-K27</f>
        <v>-68.2411764705882</v>
      </c>
      <c r="M27" s="15" t="n">
        <f aca="false">IFERROR(L27/E27,0)</f>
        <v>-0.0989002557544757</v>
      </c>
      <c r="N27" s="15" t="n">
        <f aca="false">IFERROR((E27-F27-G27-H27-I27-K27)/E27,0)</f>
        <v>0.0010997442455243</v>
      </c>
      <c r="O27" s="30" t="n">
        <f aca="false">INDEX(Товары!$G$6:$G$17,MATCH($A27,Товары!$B$6:$B$17,0))*INDEX(Товары!$I$6:$I$17,MATCH($A27,Товары!$B$6:$B$17,0))*(1+Допущения!$C$26)</f>
        <v>168</v>
      </c>
      <c r="P27" s="15" t="n">
        <f aca="false">MAX(0.05,MIN(1,INDEX(Допущения!$F$6:$F$8,MATCH($B27,Допущения!$B$6:$B$8,0))+Допущения!$C$25))</f>
        <v>0.85</v>
      </c>
      <c r="Q27" s="30" t="n">
        <f aca="false">O27*P27</f>
        <v>142.8</v>
      </c>
      <c r="R27" s="27" t="n">
        <f aca="false">Q27*E27</f>
        <v>98532</v>
      </c>
      <c r="S27" s="29" t="n">
        <f aca="false">Q27*L27</f>
        <v>-9744.84</v>
      </c>
      <c r="T27" s="31" t="n">
        <f aca="false">INDEX(Товары!$E$6:$E$17,MATCH($A27,Товары!$B$6:$B$17,0))</f>
        <v>690</v>
      </c>
      <c r="U27" s="32" t="n">
        <f aca="false">INDEX(Допущения!$C$6:$C$8,MATCH($B27,Допущения!$B$6:$B$8,0))</f>
        <v>0.21</v>
      </c>
      <c r="V27" s="31" t="n">
        <f aca="false">INDEX(Допущения!$D$6:$D$8,MATCH($B27,Допущения!$B$6:$B$8,0))</f>
        <v>85</v>
      </c>
      <c r="W27" s="31" t="n">
        <f aca="false">INDEX(Допущения!$E$6:$E$8,MATCH($B27,Допущения!$B$6:$B$8,0))</f>
        <v>45</v>
      </c>
    </row>
    <row r="28" customFormat="false" ht="15" hidden="false" customHeight="false" outlineLevel="0" collapsed="false">
      <c r="A28" s="11" t="s">
        <v>89</v>
      </c>
      <c r="B28" s="11" t="s">
        <v>29</v>
      </c>
      <c r="C28" s="26" t="str">
        <f aca="false">INDEX(Товары!$C$6:$C$17,MATCH($A28,Товары!$B$6:$B$17,0))</f>
        <v>Корзина плетёная</v>
      </c>
      <c r="D28" s="26" t="str">
        <f aca="false">INDEX(Товары!$D$6:$D$17,MATCH($A28,Товары!$B$6:$B$17,0))</f>
        <v>Хранение</v>
      </c>
      <c r="E28" s="27" t="n">
        <f aca="false">T28*(1+Допущения!$C$23)</f>
        <v>690</v>
      </c>
      <c r="F28" s="28" t="n">
        <f aca="false">INDEX(Товары!$F$6:$F$17,MATCH($A28,Товары!$B$6:$B$17,0))</f>
        <v>380</v>
      </c>
      <c r="G28" s="27" t="n">
        <f aca="false">E28*U28</f>
        <v>24.15</v>
      </c>
      <c r="H28" s="27" t="n">
        <f aca="false">(V28+W28*(1-P28))/P28</f>
        <v>176.842105263158</v>
      </c>
      <c r="I28" s="28" t="n">
        <f aca="false">INDEX(Допущения!$H$6:$H$8,MATCH($B28,Допущения!$B$6:$B$8,0))</f>
        <v>0</v>
      </c>
      <c r="J28" s="27" t="n">
        <f aca="false">E28*INDEX(Допущения!$G$6:$G$8,MATCH($B28,Допущения!$B$6:$B$8,0))*Допущения!$C$24</f>
        <v>89.7</v>
      </c>
      <c r="K28" s="27" t="n">
        <f aca="false">E28*Допущения!$C$11</f>
        <v>41.4</v>
      </c>
      <c r="L28" s="29" t="n">
        <f aca="false">E28-F28-G28-H28-I28-J28-K28</f>
        <v>-22.0921052631579</v>
      </c>
      <c r="M28" s="15" t="n">
        <f aca="false">IFERROR(L28/E28,0)</f>
        <v>-0.0320175438596491</v>
      </c>
      <c r="N28" s="15" t="n">
        <f aca="false">IFERROR((E28-F28-G28-H28-I28-K28)/E28,0)</f>
        <v>0.0979824561403509</v>
      </c>
      <c r="O28" s="30" t="n">
        <f aca="false">INDEX(Товары!$G$6:$G$17,MATCH($A28,Товары!$B$6:$B$17,0))*INDEX(Товары!$J$6:$J$17,MATCH($A28,Товары!$B$6:$B$17,0))*(1+Допущения!$C$26)</f>
        <v>48</v>
      </c>
      <c r="P28" s="15" t="n">
        <f aca="false">MAX(0.05,MIN(1,INDEX(Допущения!$F$6:$F$8,MATCH($B28,Допущения!$B$6:$B$8,0))+Допущения!$C$25))</f>
        <v>0.95</v>
      </c>
      <c r="Q28" s="30" t="n">
        <f aca="false">O28*P28</f>
        <v>45.6</v>
      </c>
      <c r="R28" s="27" t="n">
        <f aca="false">Q28*E28</f>
        <v>31464</v>
      </c>
      <c r="S28" s="29" t="n">
        <f aca="false">Q28*L28</f>
        <v>-1007.4</v>
      </c>
      <c r="T28" s="31" t="n">
        <f aca="false">INDEX(Товары!$E$6:$E$17,MATCH($A28,Товары!$B$6:$B$17,0))</f>
        <v>690</v>
      </c>
      <c r="U28" s="32" t="n">
        <f aca="false">INDEX(Допущения!$C$6:$C$8,MATCH($B28,Допущения!$B$6:$B$8,0))</f>
        <v>0.035</v>
      </c>
      <c r="V28" s="31" t="n">
        <f aca="false">INDEX(Допущения!$D$6:$D$8,MATCH($B28,Допущения!$B$6:$B$8,0))</f>
        <v>160</v>
      </c>
      <c r="W28" s="31" t="n">
        <f aca="false">INDEX(Допущения!$E$6:$E$8,MATCH($B28,Допущения!$B$6:$B$8,0))</f>
        <v>160</v>
      </c>
    </row>
    <row r="29" customFormat="false" ht="15" hidden="false" customHeight="false" outlineLevel="0" collapsed="false">
      <c r="A29" s="11" t="s">
        <v>91</v>
      </c>
      <c r="B29" s="11" t="s">
        <v>27</v>
      </c>
      <c r="C29" s="26" t="str">
        <f aca="false">INDEX(Товары!$C$6:$C$17,MATCH($A29,Товары!$B$6:$B$17,0))</f>
        <v>Свеча ароматическая</v>
      </c>
      <c r="D29" s="26" t="str">
        <f aca="false">INDEX(Товары!$D$6:$D$17,MATCH($A29,Товары!$B$6:$B$17,0))</f>
        <v>Декор</v>
      </c>
      <c r="E29" s="27" t="n">
        <f aca="false">T29*(1+Допущения!$C$23)</f>
        <v>490</v>
      </c>
      <c r="F29" s="28" t="n">
        <f aca="false">INDEX(Товары!$F$6:$F$17,MATCH($A29,Товары!$B$6:$B$17,0))</f>
        <v>210</v>
      </c>
      <c r="G29" s="27" t="n">
        <f aca="false">E29*U29</f>
        <v>117.6</v>
      </c>
      <c r="H29" s="27" t="n">
        <f aca="false">(V29+W29*(1-P29))/P29</f>
        <v>132.051282051282</v>
      </c>
      <c r="I29" s="28" t="n">
        <f aca="false">INDEX(Допущения!$H$6:$H$8,MATCH($B29,Допущения!$B$6:$B$8,0))</f>
        <v>18</v>
      </c>
      <c r="J29" s="27" t="n">
        <f aca="false">E29*INDEX(Допущения!$G$6:$G$8,MATCH($B29,Допущения!$B$6:$B$8,0))*Допущения!$C$24</f>
        <v>58.8</v>
      </c>
      <c r="K29" s="27" t="n">
        <f aca="false">E29*Допущения!$C$11</f>
        <v>29.4</v>
      </c>
      <c r="L29" s="29" t="n">
        <f aca="false">E29-F29-G29-H29-I29-J29-K29</f>
        <v>-75.851282051282</v>
      </c>
      <c r="M29" s="15" t="n">
        <f aca="false">IFERROR(L29/E29,0)</f>
        <v>-0.154798534798535</v>
      </c>
      <c r="N29" s="15" t="n">
        <f aca="false">IFERROR((E29-F29-G29-H29-I29-K29)/E29,0)</f>
        <v>-0.0347985347985348</v>
      </c>
      <c r="O29" s="30" t="n">
        <f aca="false">INDEX(Товары!$G$6:$G$17,MATCH($A29,Товары!$B$6:$B$17,0))*INDEX(Товары!$H$6:$H$17,MATCH($A29,Товары!$B$6:$B$17,0))*(1+Допущения!$C$26)</f>
        <v>550</v>
      </c>
      <c r="P29" s="15" t="n">
        <f aca="false">MAX(0.05,MIN(1,INDEX(Допущения!$F$6:$F$8,MATCH($B29,Допущения!$B$6:$B$8,0))+Допущения!$C$25))</f>
        <v>0.78</v>
      </c>
      <c r="Q29" s="30" t="n">
        <f aca="false">O29*P29</f>
        <v>429</v>
      </c>
      <c r="R29" s="27" t="n">
        <f aca="false">Q29*E29</f>
        <v>210210</v>
      </c>
      <c r="S29" s="29" t="n">
        <f aca="false">Q29*L29</f>
        <v>-32540.2</v>
      </c>
      <c r="T29" s="31" t="n">
        <f aca="false">INDEX(Товары!$E$6:$E$17,MATCH($A29,Товары!$B$6:$B$17,0))</f>
        <v>490</v>
      </c>
      <c r="U29" s="32" t="n">
        <f aca="false">INDEX(Допущения!$C$6:$C$8,MATCH($B29,Допущения!$B$6:$B$8,0))</f>
        <v>0.24</v>
      </c>
      <c r="V29" s="31" t="n">
        <f aca="false">INDEX(Допущения!$D$6:$D$8,MATCH($B29,Допущения!$B$6:$B$8,0))</f>
        <v>92</v>
      </c>
      <c r="W29" s="31" t="n">
        <f aca="false">INDEX(Допущения!$E$6:$E$8,MATCH($B29,Допущения!$B$6:$B$8,0))</f>
        <v>50</v>
      </c>
    </row>
    <row r="30" customFormat="false" ht="15" hidden="false" customHeight="false" outlineLevel="0" collapsed="false">
      <c r="A30" s="11" t="s">
        <v>91</v>
      </c>
      <c r="B30" s="11" t="s">
        <v>28</v>
      </c>
      <c r="C30" s="26" t="str">
        <f aca="false">INDEX(Товары!$C$6:$C$17,MATCH($A30,Товары!$B$6:$B$17,0))</f>
        <v>Свеча ароматическая</v>
      </c>
      <c r="D30" s="26" t="str">
        <f aca="false">INDEX(Товары!$D$6:$D$17,MATCH($A30,Товары!$B$6:$B$17,0))</f>
        <v>Декор</v>
      </c>
      <c r="E30" s="27" t="n">
        <f aca="false">T30*(1+Допущения!$C$23)</f>
        <v>490</v>
      </c>
      <c r="F30" s="28" t="n">
        <f aca="false">INDEX(Товары!$F$6:$F$17,MATCH($A30,Товары!$B$6:$B$17,0))</f>
        <v>210</v>
      </c>
      <c r="G30" s="27" t="n">
        <f aca="false">E30*U30</f>
        <v>102.9</v>
      </c>
      <c r="H30" s="27" t="n">
        <f aca="false">(V30+W30*(1-P30))/P30</f>
        <v>107.941176470588</v>
      </c>
      <c r="I30" s="28" t="n">
        <f aca="false">INDEX(Допущения!$H$6:$H$8,MATCH($B30,Допущения!$B$6:$B$8,0))</f>
        <v>15</v>
      </c>
      <c r="J30" s="27" t="n">
        <f aca="false">E30*INDEX(Допущения!$G$6:$G$8,MATCH($B30,Допущения!$B$6:$B$8,0))*Допущения!$C$24</f>
        <v>49</v>
      </c>
      <c r="K30" s="27" t="n">
        <f aca="false">E30*Допущения!$C$11</f>
        <v>29.4</v>
      </c>
      <c r="L30" s="29" t="n">
        <f aca="false">E30-F30-G30-H30-I30-J30-K30</f>
        <v>-24.2411764705882</v>
      </c>
      <c r="M30" s="15" t="n">
        <f aca="false">IFERROR(L30/E30,0)</f>
        <v>-0.0494717887154861</v>
      </c>
      <c r="N30" s="15" t="n">
        <f aca="false">IFERROR((E30-F30-G30-H30-I30-K30)/E30,0)</f>
        <v>0.0505282112845139</v>
      </c>
      <c r="O30" s="30" t="n">
        <f aca="false">INDEX(Товары!$G$6:$G$17,MATCH($A30,Товары!$B$6:$B$17,0))*INDEX(Товары!$I$6:$I$17,MATCH($A30,Товары!$B$6:$B$17,0))*(1+Допущения!$C$26)</f>
        <v>385</v>
      </c>
      <c r="P30" s="15" t="n">
        <f aca="false">MAX(0.05,MIN(1,INDEX(Допущения!$F$6:$F$8,MATCH($B30,Допущения!$B$6:$B$8,0))+Допущения!$C$25))</f>
        <v>0.85</v>
      </c>
      <c r="Q30" s="30" t="n">
        <f aca="false">O30*P30</f>
        <v>327.25</v>
      </c>
      <c r="R30" s="27" t="n">
        <f aca="false">Q30*E30</f>
        <v>160352.5</v>
      </c>
      <c r="S30" s="29" t="n">
        <f aca="false">Q30*L30</f>
        <v>-7932.92499999999</v>
      </c>
      <c r="T30" s="31" t="n">
        <f aca="false">INDEX(Товары!$E$6:$E$17,MATCH($A30,Товары!$B$6:$B$17,0))</f>
        <v>490</v>
      </c>
      <c r="U30" s="32" t="n">
        <f aca="false">INDEX(Допущения!$C$6:$C$8,MATCH($B30,Допущения!$B$6:$B$8,0))</f>
        <v>0.21</v>
      </c>
      <c r="V30" s="31" t="n">
        <f aca="false">INDEX(Допущения!$D$6:$D$8,MATCH($B30,Допущения!$B$6:$B$8,0))</f>
        <v>85</v>
      </c>
      <c r="W30" s="31" t="n">
        <f aca="false">INDEX(Допущения!$E$6:$E$8,MATCH($B30,Допущения!$B$6:$B$8,0))</f>
        <v>45</v>
      </c>
    </row>
    <row r="31" customFormat="false" ht="15" hidden="false" customHeight="false" outlineLevel="0" collapsed="false">
      <c r="A31" s="11" t="s">
        <v>91</v>
      </c>
      <c r="B31" s="11" t="s">
        <v>29</v>
      </c>
      <c r="C31" s="26" t="str">
        <f aca="false">INDEX(Товары!$C$6:$C$17,MATCH($A31,Товары!$B$6:$B$17,0))</f>
        <v>Свеча ароматическая</v>
      </c>
      <c r="D31" s="26" t="str">
        <f aca="false">INDEX(Товары!$D$6:$D$17,MATCH($A31,Товары!$B$6:$B$17,0))</f>
        <v>Декор</v>
      </c>
      <c r="E31" s="27" t="n">
        <f aca="false">T31*(1+Допущения!$C$23)</f>
        <v>490</v>
      </c>
      <c r="F31" s="28" t="n">
        <f aca="false">INDEX(Товары!$F$6:$F$17,MATCH($A31,Товары!$B$6:$B$17,0))</f>
        <v>210</v>
      </c>
      <c r="G31" s="27" t="n">
        <f aca="false">E31*U31</f>
        <v>17.15</v>
      </c>
      <c r="H31" s="27" t="n">
        <f aca="false">(V31+W31*(1-P31))/P31</f>
        <v>176.842105263158</v>
      </c>
      <c r="I31" s="28" t="n">
        <f aca="false">INDEX(Допущения!$H$6:$H$8,MATCH($B31,Допущения!$B$6:$B$8,0))</f>
        <v>0</v>
      </c>
      <c r="J31" s="27" t="n">
        <f aca="false">E31*INDEX(Допущения!$G$6:$G$8,MATCH($B31,Допущения!$B$6:$B$8,0))*Допущения!$C$24</f>
        <v>63.7</v>
      </c>
      <c r="K31" s="27" t="n">
        <f aca="false">E31*Допущения!$C$11</f>
        <v>29.4</v>
      </c>
      <c r="L31" s="29" t="n">
        <f aca="false">E31-F31-G31-H31-I31-J31-K31</f>
        <v>-7.09210526315787</v>
      </c>
      <c r="M31" s="15" t="n">
        <f aca="false">IFERROR(L31/E31,0)</f>
        <v>-0.0144736842105263</v>
      </c>
      <c r="N31" s="15" t="n">
        <f aca="false">IFERROR((E31-F31-G31-H31-I31-K31)/E31,0)</f>
        <v>0.115526315789474</v>
      </c>
      <c r="O31" s="30" t="n">
        <f aca="false">INDEX(Товары!$G$6:$G$17,MATCH($A31,Товары!$B$6:$B$17,0))*INDEX(Товары!$J$6:$J$17,MATCH($A31,Товары!$B$6:$B$17,0))*(1+Допущения!$C$26)</f>
        <v>165</v>
      </c>
      <c r="P31" s="15" t="n">
        <f aca="false">MAX(0.05,MIN(1,INDEX(Допущения!$F$6:$F$8,MATCH($B31,Допущения!$B$6:$B$8,0))+Допущения!$C$25))</f>
        <v>0.95</v>
      </c>
      <c r="Q31" s="30" t="n">
        <f aca="false">O31*P31</f>
        <v>156.75</v>
      </c>
      <c r="R31" s="27" t="n">
        <f aca="false">Q31*E31</f>
        <v>76807.5</v>
      </c>
      <c r="S31" s="29" t="n">
        <f aca="false">Q31*L31</f>
        <v>-1111.6875</v>
      </c>
      <c r="T31" s="31" t="n">
        <f aca="false">INDEX(Товары!$E$6:$E$17,MATCH($A31,Товары!$B$6:$B$17,0))</f>
        <v>490</v>
      </c>
      <c r="U31" s="32" t="n">
        <f aca="false">INDEX(Допущения!$C$6:$C$8,MATCH($B31,Допущения!$B$6:$B$8,0))</f>
        <v>0.035</v>
      </c>
      <c r="V31" s="31" t="n">
        <f aca="false">INDEX(Допущения!$D$6:$D$8,MATCH($B31,Допущения!$B$6:$B$8,0))</f>
        <v>160</v>
      </c>
      <c r="W31" s="31" t="n">
        <f aca="false">INDEX(Допущения!$E$6:$E$8,MATCH($B31,Допущения!$B$6:$B$8,0))</f>
        <v>160</v>
      </c>
    </row>
    <row r="32" customFormat="false" ht="15" hidden="false" customHeight="false" outlineLevel="0" collapsed="false">
      <c r="A32" s="11" t="s">
        <v>94</v>
      </c>
      <c r="B32" s="11" t="s">
        <v>27</v>
      </c>
      <c r="C32" s="26" t="str">
        <f aca="false">INDEX(Товары!$C$6:$C$17,MATCH($A32,Товары!$B$6:$B$17,0))</f>
        <v>Ваза стеклянная</v>
      </c>
      <c r="D32" s="26" t="str">
        <f aca="false">INDEX(Товары!$D$6:$D$17,MATCH($A32,Товары!$B$6:$B$17,0))</f>
        <v>Декор</v>
      </c>
      <c r="E32" s="27" t="n">
        <f aca="false">T32*(1+Допущения!$C$23)</f>
        <v>1890</v>
      </c>
      <c r="F32" s="28" t="n">
        <f aca="false">INDEX(Товары!$F$6:$F$17,MATCH($A32,Товары!$B$6:$B$17,0))</f>
        <v>720</v>
      </c>
      <c r="G32" s="27" t="n">
        <f aca="false">E32*U32</f>
        <v>453.6</v>
      </c>
      <c r="H32" s="27" t="n">
        <f aca="false">(V32+W32*(1-P32))/P32</f>
        <v>132.051282051282</v>
      </c>
      <c r="I32" s="28" t="n">
        <f aca="false">INDEX(Допущения!$H$6:$H$8,MATCH($B32,Допущения!$B$6:$B$8,0))</f>
        <v>18</v>
      </c>
      <c r="J32" s="27" t="n">
        <f aca="false">E32*INDEX(Допущения!$G$6:$G$8,MATCH($B32,Допущения!$B$6:$B$8,0))*Допущения!$C$24</f>
        <v>226.8</v>
      </c>
      <c r="K32" s="27" t="n">
        <f aca="false">E32*Допущения!$C$11</f>
        <v>113.4</v>
      </c>
      <c r="L32" s="29" t="n">
        <f aca="false">E32-F32-G32-H32-I32-J32-K32</f>
        <v>226.148717948718</v>
      </c>
      <c r="M32" s="15" t="n">
        <f aca="false">IFERROR(L32/E32,0)</f>
        <v>0.119655406322073</v>
      </c>
      <c r="N32" s="15" t="n">
        <f aca="false">IFERROR((E32-F32-G32-H32-I32-K32)/E32,0)</f>
        <v>0.239655406322073</v>
      </c>
      <c r="O32" s="30" t="n">
        <f aca="false">INDEX(Товары!$G$6:$G$17,MATCH($A32,Товары!$B$6:$B$17,0))*INDEX(Товары!$H$6:$H$17,MATCH($A32,Товары!$B$6:$B$17,0))*(1+Допущения!$C$26)</f>
        <v>96</v>
      </c>
      <c r="P32" s="15" t="n">
        <f aca="false">MAX(0.05,MIN(1,INDEX(Допущения!$F$6:$F$8,MATCH($B32,Допущения!$B$6:$B$8,0))+Допущения!$C$25))</f>
        <v>0.78</v>
      </c>
      <c r="Q32" s="30" t="n">
        <f aca="false">O32*P32</f>
        <v>74.88</v>
      </c>
      <c r="R32" s="27" t="n">
        <f aca="false">Q32*E32</f>
        <v>141523.2</v>
      </c>
      <c r="S32" s="29" t="n">
        <f aca="false">Q32*L32</f>
        <v>16934.016</v>
      </c>
      <c r="T32" s="31" t="n">
        <f aca="false">INDEX(Товары!$E$6:$E$17,MATCH($A32,Товары!$B$6:$B$17,0))</f>
        <v>1890</v>
      </c>
      <c r="U32" s="32" t="n">
        <f aca="false">INDEX(Допущения!$C$6:$C$8,MATCH($B32,Допущения!$B$6:$B$8,0))</f>
        <v>0.24</v>
      </c>
      <c r="V32" s="31" t="n">
        <f aca="false">INDEX(Допущения!$D$6:$D$8,MATCH($B32,Допущения!$B$6:$B$8,0))</f>
        <v>92</v>
      </c>
      <c r="W32" s="31" t="n">
        <f aca="false">INDEX(Допущения!$E$6:$E$8,MATCH($B32,Допущения!$B$6:$B$8,0))</f>
        <v>50</v>
      </c>
    </row>
    <row r="33" customFormat="false" ht="15" hidden="false" customHeight="false" outlineLevel="0" collapsed="false">
      <c r="A33" s="11" t="s">
        <v>94</v>
      </c>
      <c r="B33" s="11" t="s">
        <v>28</v>
      </c>
      <c r="C33" s="26" t="str">
        <f aca="false">INDEX(Товары!$C$6:$C$17,MATCH($A33,Товары!$B$6:$B$17,0))</f>
        <v>Ваза стеклянная</v>
      </c>
      <c r="D33" s="26" t="str">
        <f aca="false">INDEX(Товары!$D$6:$D$17,MATCH($A33,Товары!$B$6:$B$17,0))</f>
        <v>Декор</v>
      </c>
      <c r="E33" s="27" t="n">
        <f aca="false">T33*(1+Допущения!$C$23)</f>
        <v>1890</v>
      </c>
      <c r="F33" s="28" t="n">
        <f aca="false">INDEX(Товары!$F$6:$F$17,MATCH($A33,Товары!$B$6:$B$17,0))</f>
        <v>720</v>
      </c>
      <c r="G33" s="27" t="n">
        <f aca="false">E33*U33</f>
        <v>396.9</v>
      </c>
      <c r="H33" s="27" t="n">
        <f aca="false">(V33+W33*(1-P33))/P33</f>
        <v>107.941176470588</v>
      </c>
      <c r="I33" s="28" t="n">
        <f aca="false">INDEX(Допущения!$H$6:$H$8,MATCH($B33,Допущения!$B$6:$B$8,0))</f>
        <v>15</v>
      </c>
      <c r="J33" s="27" t="n">
        <f aca="false">E33*INDEX(Допущения!$G$6:$G$8,MATCH($B33,Допущения!$B$6:$B$8,0))*Допущения!$C$24</f>
        <v>189</v>
      </c>
      <c r="K33" s="27" t="n">
        <f aca="false">E33*Допущения!$C$11</f>
        <v>113.4</v>
      </c>
      <c r="L33" s="29" t="n">
        <f aca="false">E33-F33-G33-H33-I33-J33-K33</f>
        <v>347.758823529412</v>
      </c>
      <c r="M33" s="15" t="n">
        <f aca="false">IFERROR(L33/E33,0)</f>
        <v>0.183999377528789</v>
      </c>
      <c r="N33" s="15" t="n">
        <f aca="false">IFERROR((E33-F33-G33-H33-I33-K33)/E33,0)</f>
        <v>0.283999377528789</v>
      </c>
      <c r="O33" s="30" t="n">
        <f aca="false">INDEX(Товары!$G$6:$G$17,MATCH($A33,Товары!$B$6:$B$17,0))*INDEX(Товары!$I$6:$I$17,MATCH($A33,Товары!$B$6:$B$17,0))*(1+Допущения!$C$26)</f>
        <v>84</v>
      </c>
      <c r="P33" s="15" t="n">
        <f aca="false">MAX(0.05,MIN(1,INDEX(Допущения!$F$6:$F$8,MATCH($B33,Допущения!$B$6:$B$8,0))+Допущения!$C$25))</f>
        <v>0.85</v>
      </c>
      <c r="Q33" s="30" t="n">
        <f aca="false">O33*P33</f>
        <v>71.4</v>
      </c>
      <c r="R33" s="27" t="n">
        <f aca="false">Q33*E33</f>
        <v>134946</v>
      </c>
      <c r="S33" s="29" t="n">
        <f aca="false">Q33*L33</f>
        <v>24829.98</v>
      </c>
      <c r="T33" s="31" t="n">
        <f aca="false">INDEX(Товары!$E$6:$E$17,MATCH($A33,Товары!$B$6:$B$17,0))</f>
        <v>1890</v>
      </c>
      <c r="U33" s="32" t="n">
        <f aca="false">INDEX(Допущения!$C$6:$C$8,MATCH($B33,Допущения!$B$6:$B$8,0))</f>
        <v>0.21</v>
      </c>
      <c r="V33" s="31" t="n">
        <f aca="false">INDEX(Допущения!$D$6:$D$8,MATCH($B33,Допущения!$B$6:$B$8,0))</f>
        <v>85</v>
      </c>
      <c r="W33" s="31" t="n">
        <f aca="false">INDEX(Допущения!$E$6:$E$8,MATCH($B33,Допущения!$B$6:$B$8,0))</f>
        <v>45</v>
      </c>
    </row>
    <row r="34" customFormat="false" ht="15" hidden="false" customHeight="false" outlineLevel="0" collapsed="false">
      <c r="A34" s="11" t="s">
        <v>94</v>
      </c>
      <c r="B34" s="11" t="s">
        <v>29</v>
      </c>
      <c r="C34" s="26" t="str">
        <f aca="false">INDEX(Товары!$C$6:$C$17,MATCH($A34,Товары!$B$6:$B$17,0))</f>
        <v>Ваза стеклянная</v>
      </c>
      <c r="D34" s="26" t="str">
        <f aca="false">INDEX(Товары!$D$6:$D$17,MATCH($A34,Товары!$B$6:$B$17,0))</f>
        <v>Декор</v>
      </c>
      <c r="E34" s="27" t="n">
        <f aca="false">T34*(1+Допущения!$C$23)</f>
        <v>1890</v>
      </c>
      <c r="F34" s="28" t="n">
        <f aca="false">INDEX(Товары!$F$6:$F$17,MATCH($A34,Товары!$B$6:$B$17,0))</f>
        <v>720</v>
      </c>
      <c r="G34" s="27" t="n">
        <f aca="false">E34*U34</f>
        <v>66.15</v>
      </c>
      <c r="H34" s="27" t="n">
        <f aca="false">(V34+W34*(1-P34))/P34</f>
        <v>176.842105263158</v>
      </c>
      <c r="I34" s="28" t="n">
        <f aca="false">INDEX(Допущения!$H$6:$H$8,MATCH($B34,Допущения!$B$6:$B$8,0))</f>
        <v>0</v>
      </c>
      <c r="J34" s="27" t="n">
        <f aca="false">E34*INDEX(Допущения!$G$6:$G$8,MATCH($B34,Допущения!$B$6:$B$8,0))*Допущения!$C$24</f>
        <v>245.7</v>
      </c>
      <c r="K34" s="27" t="n">
        <f aca="false">E34*Допущения!$C$11</f>
        <v>113.4</v>
      </c>
      <c r="L34" s="29" t="n">
        <f aca="false">E34-F34-G34-H34-I34-J34-K34</f>
        <v>567.907894736842</v>
      </c>
      <c r="M34" s="15" t="n">
        <f aca="false">IFERROR(L34/E34,0)</f>
        <v>0.300480367585631</v>
      </c>
      <c r="N34" s="15" t="n">
        <f aca="false">IFERROR((E34-F34-G34-H34-I34-K34)/E34,0)</f>
        <v>0.430480367585631</v>
      </c>
      <c r="O34" s="30" t="n">
        <f aca="false">INDEX(Товары!$G$6:$G$17,MATCH($A34,Товары!$B$6:$B$17,0))*INDEX(Товары!$J$6:$J$17,MATCH($A34,Товары!$B$6:$B$17,0))*(1+Допущения!$C$26)</f>
        <v>60</v>
      </c>
      <c r="P34" s="15" t="n">
        <f aca="false">MAX(0.05,MIN(1,INDEX(Допущения!$F$6:$F$8,MATCH($B34,Допущения!$B$6:$B$8,0))+Допущения!$C$25))</f>
        <v>0.95</v>
      </c>
      <c r="Q34" s="30" t="n">
        <f aca="false">O34*P34</f>
        <v>57</v>
      </c>
      <c r="R34" s="27" t="n">
        <f aca="false">Q34*E34</f>
        <v>107730</v>
      </c>
      <c r="S34" s="29" t="n">
        <f aca="false">Q34*L34</f>
        <v>32370.75</v>
      </c>
      <c r="T34" s="31" t="n">
        <f aca="false">INDEX(Товары!$E$6:$E$17,MATCH($A34,Товары!$B$6:$B$17,0))</f>
        <v>1890</v>
      </c>
      <c r="U34" s="32" t="n">
        <f aca="false">INDEX(Допущения!$C$6:$C$8,MATCH($B34,Допущения!$B$6:$B$8,0))</f>
        <v>0.035</v>
      </c>
      <c r="V34" s="31" t="n">
        <f aca="false">INDEX(Допущения!$D$6:$D$8,MATCH($B34,Допущения!$B$6:$B$8,0))</f>
        <v>160</v>
      </c>
      <c r="W34" s="31" t="n">
        <f aca="false">INDEX(Допущения!$E$6:$E$8,MATCH($B34,Допущения!$B$6:$B$8,0))</f>
        <v>160</v>
      </c>
    </row>
    <row r="35" customFormat="false" ht="15" hidden="false" customHeight="false" outlineLevel="0" collapsed="false">
      <c r="A35" s="11" t="s">
        <v>96</v>
      </c>
      <c r="B35" s="11" t="s">
        <v>27</v>
      </c>
      <c r="C35" s="26" t="str">
        <f aca="false">INDEX(Товары!$C$6:$C$17,MATCH($A35,Товары!$B$6:$B$17,0))</f>
        <v>Коврик для ванной</v>
      </c>
      <c r="D35" s="26" t="str">
        <f aca="false">INDEX(Товары!$D$6:$D$17,MATCH($A35,Товары!$B$6:$B$17,0))</f>
        <v>Ванная</v>
      </c>
      <c r="E35" s="27" t="n">
        <f aca="false">T35*(1+Допущения!$C$23)</f>
        <v>1290</v>
      </c>
      <c r="F35" s="28" t="n">
        <f aca="false">INDEX(Товары!$F$6:$F$17,MATCH($A35,Товары!$B$6:$B$17,0))</f>
        <v>520</v>
      </c>
      <c r="G35" s="27" t="n">
        <f aca="false">E35*U35</f>
        <v>309.6</v>
      </c>
      <c r="H35" s="27" t="n">
        <f aca="false">(V35+W35*(1-P35))/P35</f>
        <v>132.051282051282</v>
      </c>
      <c r="I35" s="28" t="n">
        <f aca="false">INDEX(Допущения!$H$6:$H$8,MATCH($B35,Допущения!$B$6:$B$8,0))</f>
        <v>18</v>
      </c>
      <c r="J35" s="27" t="n">
        <f aca="false">E35*INDEX(Допущения!$G$6:$G$8,MATCH($B35,Допущения!$B$6:$B$8,0))*Допущения!$C$24</f>
        <v>154.8</v>
      </c>
      <c r="K35" s="27" t="n">
        <f aca="false">E35*Допущения!$C$11</f>
        <v>77.4</v>
      </c>
      <c r="L35" s="29" t="n">
        <f aca="false">E35-F35-G35-H35-I35-J35-K35</f>
        <v>78.148717948718</v>
      </c>
      <c r="M35" s="15" t="n">
        <f aca="false">IFERROR(L35/E35,0)</f>
        <v>0.0605804015106341</v>
      </c>
      <c r="N35" s="15" t="n">
        <f aca="false">IFERROR((E35-F35-G35-H35-I35-K35)/E35,0)</f>
        <v>0.180580401510634</v>
      </c>
      <c r="O35" s="30" t="n">
        <f aca="false">INDEX(Товары!$G$6:$G$17,MATCH($A35,Товары!$B$6:$B$17,0))*INDEX(Товары!$H$6:$H$17,MATCH($A35,Товары!$B$6:$B$17,0))*(1+Допущения!$C$26)</f>
        <v>180</v>
      </c>
      <c r="P35" s="15" t="n">
        <f aca="false">MAX(0.05,MIN(1,INDEX(Допущения!$F$6:$F$8,MATCH($B35,Допущения!$B$6:$B$8,0))+Допущения!$C$25))</f>
        <v>0.78</v>
      </c>
      <c r="Q35" s="30" t="n">
        <f aca="false">O35*P35</f>
        <v>140.4</v>
      </c>
      <c r="R35" s="27" t="n">
        <f aca="false">Q35*E35</f>
        <v>181116</v>
      </c>
      <c r="S35" s="29" t="n">
        <f aca="false">Q35*L35</f>
        <v>10972.08</v>
      </c>
      <c r="T35" s="31" t="n">
        <f aca="false">INDEX(Товары!$E$6:$E$17,MATCH($A35,Товары!$B$6:$B$17,0))</f>
        <v>1290</v>
      </c>
      <c r="U35" s="32" t="n">
        <f aca="false">INDEX(Допущения!$C$6:$C$8,MATCH($B35,Допущения!$B$6:$B$8,0))</f>
        <v>0.24</v>
      </c>
      <c r="V35" s="31" t="n">
        <f aca="false">INDEX(Допущения!$D$6:$D$8,MATCH($B35,Допущения!$B$6:$B$8,0))</f>
        <v>92</v>
      </c>
      <c r="W35" s="31" t="n">
        <f aca="false">INDEX(Допущения!$E$6:$E$8,MATCH($B35,Допущения!$B$6:$B$8,0))</f>
        <v>50</v>
      </c>
    </row>
    <row r="36" customFormat="false" ht="15" hidden="false" customHeight="false" outlineLevel="0" collapsed="false">
      <c r="A36" s="11" t="s">
        <v>96</v>
      </c>
      <c r="B36" s="11" t="s">
        <v>28</v>
      </c>
      <c r="C36" s="26" t="str">
        <f aca="false">INDEX(Товары!$C$6:$C$17,MATCH($A36,Товары!$B$6:$B$17,0))</f>
        <v>Коврик для ванной</v>
      </c>
      <c r="D36" s="26" t="str">
        <f aca="false">INDEX(Товары!$D$6:$D$17,MATCH($A36,Товары!$B$6:$B$17,0))</f>
        <v>Ванная</v>
      </c>
      <c r="E36" s="27" t="n">
        <f aca="false">T36*(1+Допущения!$C$23)</f>
        <v>1290</v>
      </c>
      <c r="F36" s="28" t="n">
        <f aca="false">INDEX(Товары!$F$6:$F$17,MATCH($A36,Товары!$B$6:$B$17,0))</f>
        <v>520</v>
      </c>
      <c r="G36" s="27" t="n">
        <f aca="false">E36*U36</f>
        <v>270.9</v>
      </c>
      <c r="H36" s="27" t="n">
        <f aca="false">(V36+W36*(1-P36))/P36</f>
        <v>107.941176470588</v>
      </c>
      <c r="I36" s="28" t="n">
        <f aca="false">INDEX(Допущения!$H$6:$H$8,MATCH($B36,Допущения!$B$6:$B$8,0))</f>
        <v>15</v>
      </c>
      <c r="J36" s="27" t="n">
        <f aca="false">E36*INDEX(Допущения!$G$6:$G$8,MATCH($B36,Допущения!$B$6:$B$8,0))*Допущения!$C$24</f>
        <v>129</v>
      </c>
      <c r="K36" s="27" t="n">
        <f aca="false">E36*Допущения!$C$11</f>
        <v>77.4</v>
      </c>
      <c r="L36" s="29" t="n">
        <f aca="false">E36-F36-G36-H36-I36-J36-K36</f>
        <v>169.758823529412</v>
      </c>
      <c r="M36" s="15" t="n">
        <f aca="false">IFERROR(L36/E36,0)</f>
        <v>0.131595987232102</v>
      </c>
      <c r="N36" s="15" t="n">
        <f aca="false">IFERROR((E36-F36-G36-H36-I36-K36)/E36,0)</f>
        <v>0.231595987232102</v>
      </c>
      <c r="O36" s="30" t="n">
        <f aca="false">INDEX(Товары!$G$6:$G$17,MATCH($A36,Товары!$B$6:$B$17,0))*INDEX(Товары!$I$6:$I$17,MATCH($A36,Товары!$B$6:$B$17,0))*(1+Допущения!$C$26)</f>
        <v>126</v>
      </c>
      <c r="P36" s="15" t="n">
        <f aca="false">MAX(0.05,MIN(1,INDEX(Допущения!$F$6:$F$8,MATCH($B36,Допущения!$B$6:$B$8,0))+Допущения!$C$25))</f>
        <v>0.85</v>
      </c>
      <c r="Q36" s="30" t="n">
        <f aca="false">O36*P36</f>
        <v>107.1</v>
      </c>
      <c r="R36" s="27" t="n">
        <f aca="false">Q36*E36</f>
        <v>138159</v>
      </c>
      <c r="S36" s="29" t="n">
        <f aca="false">Q36*L36</f>
        <v>18181.17</v>
      </c>
      <c r="T36" s="31" t="n">
        <f aca="false">INDEX(Товары!$E$6:$E$17,MATCH($A36,Товары!$B$6:$B$17,0))</f>
        <v>1290</v>
      </c>
      <c r="U36" s="32" t="n">
        <f aca="false">INDEX(Допущения!$C$6:$C$8,MATCH($B36,Допущения!$B$6:$B$8,0))</f>
        <v>0.21</v>
      </c>
      <c r="V36" s="31" t="n">
        <f aca="false">INDEX(Допущения!$D$6:$D$8,MATCH($B36,Допущения!$B$6:$B$8,0))</f>
        <v>85</v>
      </c>
      <c r="W36" s="31" t="n">
        <f aca="false">INDEX(Допущения!$E$6:$E$8,MATCH($B36,Допущения!$B$6:$B$8,0))</f>
        <v>45</v>
      </c>
    </row>
    <row r="37" customFormat="false" ht="15" hidden="false" customHeight="false" outlineLevel="0" collapsed="false">
      <c r="A37" s="11" t="s">
        <v>96</v>
      </c>
      <c r="B37" s="11" t="s">
        <v>29</v>
      </c>
      <c r="C37" s="26" t="str">
        <f aca="false">INDEX(Товары!$C$6:$C$17,MATCH($A37,Товары!$B$6:$B$17,0))</f>
        <v>Коврик для ванной</v>
      </c>
      <c r="D37" s="26" t="str">
        <f aca="false">INDEX(Товары!$D$6:$D$17,MATCH($A37,Товары!$B$6:$B$17,0))</f>
        <v>Ванная</v>
      </c>
      <c r="E37" s="27" t="n">
        <f aca="false">T37*(1+Допущения!$C$23)</f>
        <v>1290</v>
      </c>
      <c r="F37" s="28" t="n">
        <f aca="false">INDEX(Товары!$F$6:$F$17,MATCH($A37,Товары!$B$6:$B$17,0))</f>
        <v>520</v>
      </c>
      <c r="G37" s="27" t="n">
        <f aca="false">E37*U37</f>
        <v>45.15</v>
      </c>
      <c r="H37" s="27" t="n">
        <f aca="false">(V37+W37*(1-P37))/P37</f>
        <v>176.842105263158</v>
      </c>
      <c r="I37" s="28" t="n">
        <f aca="false">INDEX(Допущения!$H$6:$H$8,MATCH($B37,Допущения!$B$6:$B$8,0))</f>
        <v>0</v>
      </c>
      <c r="J37" s="27" t="n">
        <f aca="false">E37*INDEX(Допущения!$G$6:$G$8,MATCH($B37,Допущения!$B$6:$B$8,0))*Допущения!$C$24</f>
        <v>167.7</v>
      </c>
      <c r="K37" s="27" t="n">
        <f aca="false">E37*Допущения!$C$11</f>
        <v>77.4</v>
      </c>
      <c r="L37" s="29" t="n">
        <f aca="false">E37-F37-G37-H37-I37-J37-K37</f>
        <v>302.907894736842</v>
      </c>
      <c r="M37" s="15" t="n">
        <f aca="false">IFERROR(L37/E37,0)</f>
        <v>0.234812321501428</v>
      </c>
      <c r="N37" s="15" t="n">
        <f aca="false">IFERROR((E37-F37-G37-H37-I37-K37)/E37,0)</f>
        <v>0.364812321501428</v>
      </c>
      <c r="O37" s="30" t="n">
        <f aca="false">INDEX(Товары!$G$6:$G$17,MATCH($A37,Товары!$B$6:$B$17,0))*INDEX(Товары!$J$6:$J$17,MATCH($A37,Товары!$B$6:$B$17,0))*(1+Допущения!$C$26)</f>
        <v>54</v>
      </c>
      <c r="P37" s="15" t="n">
        <f aca="false">MAX(0.05,MIN(1,INDEX(Допущения!$F$6:$F$8,MATCH($B37,Допущения!$B$6:$B$8,0))+Допущения!$C$25))</f>
        <v>0.95</v>
      </c>
      <c r="Q37" s="30" t="n">
        <f aca="false">O37*P37</f>
        <v>51.3</v>
      </c>
      <c r="R37" s="27" t="n">
        <f aca="false">Q37*E37</f>
        <v>66177</v>
      </c>
      <c r="S37" s="29" t="n">
        <f aca="false">Q37*L37</f>
        <v>15539.175</v>
      </c>
      <c r="T37" s="31" t="n">
        <f aca="false">INDEX(Товары!$E$6:$E$17,MATCH($A37,Товары!$B$6:$B$17,0))</f>
        <v>1290</v>
      </c>
      <c r="U37" s="32" t="n">
        <f aca="false">INDEX(Допущения!$C$6:$C$8,MATCH($B37,Допущения!$B$6:$B$8,0))</f>
        <v>0.035</v>
      </c>
      <c r="V37" s="31" t="n">
        <f aca="false">INDEX(Допущения!$D$6:$D$8,MATCH($B37,Допущения!$B$6:$B$8,0))</f>
        <v>160</v>
      </c>
      <c r="W37" s="31" t="n">
        <f aca="false">INDEX(Допущения!$E$6:$E$8,MATCH($B37,Допущения!$B$6:$B$8,0))</f>
        <v>160</v>
      </c>
    </row>
    <row r="38" customFormat="false" ht="15" hidden="false" customHeight="false" outlineLevel="0" collapsed="false">
      <c r="A38" s="11" t="s">
        <v>99</v>
      </c>
      <c r="B38" s="11" t="s">
        <v>27</v>
      </c>
      <c r="C38" s="26" t="str">
        <f aca="false">INDEX(Товары!$C$6:$C$17,MATCH($A38,Товары!$B$6:$B$17,0))</f>
        <v>Держатель для щёток</v>
      </c>
      <c r="D38" s="26" t="str">
        <f aca="false">INDEX(Товары!$D$6:$D$17,MATCH($A38,Товары!$B$6:$B$17,0))</f>
        <v>Ванная</v>
      </c>
      <c r="E38" s="27" t="n">
        <f aca="false">T38*(1+Допущения!$C$23)</f>
        <v>390</v>
      </c>
      <c r="F38" s="28" t="n">
        <f aca="false">INDEX(Товары!$F$6:$F$17,MATCH($A38,Товары!$B$6:$B$17,0))</f>
        <v>190</v>
      </c>
      <c r="G38" s="27" t="n">
        <f aca="false">E38*U38</f>
        <v>93.6</v>
      </c>
      <c r="H38" s="27" t="n">
        <f aca="false">(V38+W38*(1-P38))/P38</f>
        <v>132.051282051282</v>
      </c>
      <c r="I38" s="28" t="n">
        <f aca="false">INDEX(Допущения!$H$6:$H$8,MATCH($B38,Допущения!$B$6:$B$8,0))</f>
        <v>18</v>
      </c>
      <c r="J38" s="27" t="n">
        <f aca="false">E38*INDEX(Допущения!$G$6:$G$8,MATCH($B38,Допущения!$B$6:$B$8,0))*Допущения!$C$24</f>
        <v>46.8</v>
      </c>
      <c r="K38" s="27" t="n">
        <f aca="false">E38*Допущения!$C$11</f>
        <v>23.4</v>
      </c>
      <c r="L38" s="29" t="n">
        <f aca="false">E38-F38-G38-H38-I38-J38-K38</f>
        <v>-113.851282051282</v>
      </c>
      <c r="M38" s="15" t="n">
        <f aca="false">IFERROR(L38/E38,0)</f>
        <v>-0.291926364234057</v>
      </c>
      <c r="N38" s="15" t="n">
        <f aca="false">IFERROR((E38-F38-G38-H38-I38-K38)/E38,0)</f>
        <v>-0.171926364234057</v>
      </c>
      <c r="O38" s="30" t="n">
        <f aca="false">INDEX(Товары!$G$6:$G$17,MATCH($A38,Товары!$B$6:$B$17,0))*INDEX(Товары!$H$6:$H$17,MATCH($A38,Товары!$B$6:$B$17,0))*(1+Допущения!$C$26)</f>
        <v>385</v>
      </c>
      <c r="P38" s="15" t="n">
        <f aca="false">MAX(0.05,MIN(1,INDEX(Допущения!$F$6:$F$8,MATCH($B38,Допущения!$B$6:$B$8,0))+Допущения!$C$25))</f>
        <v>0.78</v>
      </c>
      <c r="Q38" s="30" t="n">
        <f aca="false">O38*P38</f>
        <v>300.3</v>
      </c>
      <c r="R38" s="27" t="n">
        <f aca="false">Q38*E38</f>
        <v>117117</v>
      </c>
      <c r="S38" s="29" t="n">
        <f aca="false">Q38*L38</f>
        <v>-34189.54</v>
      </c>
      <c r="T38" s="31" t="n">
        <f aca="false">INDEX(Товары!$E$6:$E$17,MATCH($A38,Товары!$B$6:$B$17,0))</f>
        <v>390</v>
      </c>
      <c r="U38" s="32" t="n">
        <f aca="false">INDEX(Допущения!$C$6:$C$8,MATCH($B38,Допущения!$B$6:$B$8,0))</f>
        <v>0.24</v>
      </c>
      <c r="V38" s="31" t="n">
        <f aca="false">INDEX(Допущения!$D$6:$D$8,MATCH($B38,Допущения!$B$6:$B$8,0))</f>
        <v>92</v>
      </c>
      <c r="W38" s="31" t="n">
        <f aca="false">INDEX(Допущения!$E$6:$E$8,MATCH($B38,Допущения!$B$6:$B$8,0))</f>
        <v>50</v>
      </c>
    </row>
    <row r="39" customFormat="false" ht="15" hidden="false" customHeight="false" outlineLevel="0" collapsed="false">
      <c r="A39" s="11" t="s">
        <v>99</v>
      </c>
      <c r="B39" s="11" t="s">
        <v>28</v>
      </c>
      <c r="C39" s="26" t="str">
        <f aca="false">INDEX(Товары!$C$6:$C$17,MATCH($A39,Товары!$B$6:$B$17,0))</f>
        <v>Держатель для щёток</v>
      </c>
      <c r="D39" s="26" t="str">
        <f aca="false">INDEX(Товары!$D$6:$D$17,MATCH($A39,Товары!$B$6:$B$17,0))</f>
        <v>Ванная</v>
      </c>
      <c r="E39" s="27" t="n">
        <f aca="false">T39*(1+Допущения!$C$23)</f>
        <v>390</v>
      </c>
      <c r="F39" s="28" t="n">
        <f aca="false">INDEX(Товары!$F$6:$F$17,MATCH($A39,Товары!$B$6:$B$17,0))</f>
        <v>190</v>
      </c>
      <c r="G39" s="27" t="n">
        <f aca="false">E39*U39</f>
        <v>81.9</v>
      </c>
      <c r="H39" s="27" t="n">
        <f aca="false">(V39+W39*(1-P39))/P39</f>
        <v>107.941176470588</v>
      </c>
      <c r="I39" s="28" t="n">
        <f aca="false">INDEX(Допущения!$H$6:$H$8,MATCH($B39,Допущения!$B$6:$B$8,0))</f>
        <v>15</v>
      </c>
      <c r="J39" s="27" t="n">
        <f aca="false">E39*INDEX(Допущения!$G$6:$G$8,MATCH($B39,Допущения!$B$6:$B$8,0))*Допущения!$C$24</f>
        <v>39</v>
      </c>
      <c r="K39" s="27" t="n">
        <f aca="false">E39*Допущения!$C$11</f>
        <v>23.4</v>
      </c>
      <c r="L39" s="29" t="n">
        <f aca="false">E39-F39-G39-H39-I39-J39-K39</f>
        <v>-67.2411764705882</v>
      </c>
      <c r="M39" s="15" t="n">
        <f aca="false">IFERROR(L39/E39,0)</f>
        <v>-0.172413273001508</v>
      </c>
      <c r="N39" s="15" t="n">
        <f aca="false">IFERROR((E39-F39-G39-H39-I39-K39)/E39,0)</f>
        <v>-0.0724132730015083</v>
      </c>
      <c r="O39" s="30" t="n">
        <f aca="false">INDEX(Товары!$G$6:$G$17,MATCH($A39,Товары!$B$6:$B$17,0))*INDEX(Товары!$I$6:$I$17,MATCH($A39,Товары!$B$6:$B$17,0))*(1+Допущения!$C$26)</f>
        <v>245</v>
      </c>
      <c r="P39" s="15" t="n">
        <f aca="false">MAX(0.05,MIN(1,INDEX(Допущения!$F$6:$F$8,MATCH($B39,Допущения!$B$6:$B$8,0))+Допущения!$C$25))</f>
        <v>0.85</v>
      </c>
      <c r="Q39" s="30" t="n">
        <f aca="false">O39*P39</f>
        <v>208.25</v>
      </c>
      <c r="R39" s="27" t="n">
        <f aca="false">Q39*E39</f>
        <v>81217.5</v>
      </c>
      <c r="S39" s="29" t="n">
        <f aca="false">Q39*L39</f>
        <v>-14002.975</v>
      </c>
      <c r="T39" s="31" t="n">
        <f aca="false">INDEX(Товары!$E$6:$E$17,MATCH($A39,Товары!$B$6:$B$17,0))</f>
        <v>390</v>
      </c>
      <c r="U39" s="32" t="n">
        <f aca="false">INDEX(Допущения!$C$6:$C$8,MATCH($B39,Допущения!$B$6:$B$8,0))</f>
        <v>0.21</v>
      </c>
      <c r="V39" s="31" t="n">
        <f aca="false">INDEX(Допущения!$D$6:$D$8,MATCH($B39,Допущения!$B$6:$B$8,0))</f>
        <v>85</v>
      </c>
      <c r="W39" s="31" t="n">
        <f aca="false">INDEX(Допущения!$E$6:$E$8,MATCH($B39,Допущения!$B$6:$B$8,0))</f>
        <v>45</v>
      </c>
    </row>
    <row r="40" customFormat="false" ht="15" hidden="false" customHeight="false" outlineLevel="0" collapsed="false">
      <c r="A40" s="11" t="s">
        <v>99</v>
      </c>
      <c r="B40" s="11" t="s">
        <v>29</v>
      </c>
      <c r="C40" s="26" t="str">
        <f aca="false">INDEX(Товары!$C$6:$C$17,MATCH($A40,Товары!$B$6:$B$17,0))</f>
        <v>Держатель для щёток</v>
      </c>
      <c r="D40" s="26" t="str">
        <f aca="false">INDEX(Товары!$D$6:$D$17,MATCH($A40,Товары!$B$6:$B$17,0))</f>
        <v>Ванная</v>
      </c>
      <c r="E40" s="27" t="n">
        <f aca="false">T40*(1+Допущения!$C$23)</f>
        <v>390</v>
      </c>
      <c r="F40" s="28" t="n">
        <f aca="false">INDEX(Товары!$F$6:$F$17,MATCH($A40,Товары!$B$6:$B$17,0))</f>
        <v>190</v>
      </c>
      <c r="G40" s="27" t="n">
        <f aca="false">E40*U40</f>
        <v>13.65</v>
      </c>
      <c r="H40" s="27" t="n">
        <f aca="false">(V40+W40*(1-P40))/P40</f>
        <v>176.842105263158</v>
      </c>
      <c r="I40" s="28" t="n">
        <f aca="false">INDEX(Допущения!$H$6:$H$8,MATCH($B40,Допущения!$B$6:$B$8,0))</f>
        <v>0</v>
      </c>
      <c r="J40" s="27" t="n">
        <f aca="false">E40*INDEX(Допущения!$G$6:$G$8,MATCH($B40,Допущения!$B$6:$B$8,0))*Допущения!$C$24</f>
        <v>50.7</v>
      </c>
      <c r="K40" s="27" t="n">
        <f aca="false">E40*Допущения!$C$11</f>
        <v>23.4</v>
      </c>
      <c r="L40" s="29" t="n">
        <f aca="false">E40-F40-G40-H40-I40-J40-K40</f>
        <v>-64.5921052631579</v>
      </c>
      <c r="M40" s="15" t="n">
        <f aca="false">IFERROR(L40/E40,0)</f>
        <v>-0.165620782726046</v>
      </c>
      <c r="N40" s="15" t="n">
        <f aca="false">IFERROR((E40-F40-G40-H40-I40-K40)/E40,0)</f>
        <v>-0.0356207827260459</v>
      </c>
      <c r="O40" s="30" t="n">
        <f aca="false">INDEX(Товары!$G$6:$G$17,MATCH($A40,Товары!$B$6:$B$17,0))*INDEX(Товары!$J$6:$J$17,MATCH($A40,Товары!$B$6:$B$17,0))*(1+Допущения!$C$26)</f>
        <v>70</v>
      </c>
      <c r="P40" s="15" t="n">
        <f aca="false">MAX(0.05,MIN(1,INDEX(Допущения!$F$6:$F$8,MATCH($B40,Допущения!$B$6:$B$8,0))+Допущения!$C$25))</f>
        <v>0.95</v>
      </c>
      <c r="Q40" s="30" t="n">
        <f aca="false">O40*P40</f>
        <v>66.5</v>
      </c>
      <c r="R40" s="27" t="n">
        <f aca="false">Q40*E40</f>
        <v>25935</v>
      </c>
      <c r="S40" s="29" t="n">
        <f aca="false">Q40*L40</f>
        <v>-4295.375</v>
      </c>
      <c r="T40" s="31" t="n">
        <f aca="false">INDEX(Товары!$E$6:$E$17,MATCH($A40,Товары!$B$6:$B$17,0))</f>
        <v>390</v>
      </c>
      <c r="U40" s="32" t="n">
        <f aca="false">INDEX(Допущения!$C$6:$C$8,MATCH($B40,Допущения!$B$6:$B$8,0))</f>
        <v>0.035</v>
      </c>
      <c r="V40" s="31" t="n">
        <f aca="false">INDEX(Допущения!$D$6:$D$8,MATCH($B40,Допущения!$B$6:$B$8,0))</f>
        <v>160</v>
      </c>
      <c r="W40" s="31" t="n">
        <f aca="false">INDEX(Допущения!$E$6:$E$8,MATCH($B40,Допущения!$B$6:$B$8,0))</f>
        <v>160</v>
      </c>
    </row>
    <row r="41" customFormat="false" ht="15" hidden="false" customHeight="false" outlineLevel="0" collapsed="false">
      <c r="C41" s="33" t="s">
        <v>121</v>
      </c>
      <c r="M41" s="34" t="n">
        <f aca="false">IFERROR(S41/R41,0)</f>
        <v>0.103388595736348</v>
      </c>
      <c r="O41" s="35" t="n">
        <f aca="false">SUM(O5:O40)</f>
        <v>6310</v>
      </c>
      <c r="Q41" s="35" t="n">
        <f aca="false">SUM(Q5:Q40)</f>
        <v>5244.86</v>
      </c>
      <c r="R41" s="36" t="n">
        <f aca="false">SUM(R5:R40)</f>
        <v>5942848.4</v>
      </c>
      <c r="S41" s="36" t="n">
        <f aca="false">SUM(S5:S40)</f>
        <v>614422.75075</v>
      </c>
    </row>
  </sheetData>
  <autoFilter ref="A4:W40"/>
  <conditionalFormatting sqref="A5:S40">
    <cfRule type="expression" priority="2" aboveAverage="0" equalAverage="0" bottom="0" percent="0" rank="0" text="" dxfId="7">
      <formula>$L5&lt;0</formula>
    </cfRule>
  </conditionalFormatting>
  <conditionalFormatting sqref="M5:M40">
    <cfRule type="colorScale" priority="3">
      <colorScale>
        <cfvo type="num" val="-0.1"/>
        <cfvo type="num" val="0.1"/>
        <cfvo type="num" val="0.3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4" min="3" style="0" width="12"/>
    <col collapsed="false" customWidth="true" hidden="false" outlineLevel="0" max="15" min="15" style="0" width="14"/>
    <col collapsed="false" customWidth="true" hidden="false" outlineLevel="0" max="16" min="16" style="0" width="10"/>
  </cols>
  <sheetData>
    <row r="2" customFormat="false" ht="17.35" hidden="false" customHeight="false" outlineLevel="0" collapsed="false">
      <c r="B2" s="1" t="s">
        <v>122</v>
      </c>
    </row>
    <row r="3" customFormat="false" ht="15" hidden="false" customHeight="false" outlineLevel="0" collapsed="false">
      <c r="B3" s="7" t="str">
        <f aca="false">"Сценарий: "&amp;Допущения!C22</f>
        <v>Сценарий: Базовый</v>
      </c>
    </row>
    <row r="5" customFormat="false" ht="30" hidden="false" customHeight="true" outlineLevel="0" collapsed="false">
      <c r="B5" s="6" t="s">
        <v>123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  <c r="K5" s="6" t="s">
        <v>55</v>
      </c>
      <c r="L5" s="6" t="s">
        <v>56</v>
      </c>
      <c r="M5" s="6" t="s">
        <v>57</v>
      </c>
      <c r="N5" s="6" t="s">
        <v>58</v>
      </c>
      <c r="O5" s="6" t="s">
        <v>124</v>
      </c>
      <c r="P5" s="6" t="s">
        <v>125</v>
      </c>
    </row>
    <row r="6" customFormat="false" ht="15" hidden="false" customHeight="false" outlineLevel="0" collapsed="false">
      <c r="B6" s="5" t="s">
        <v>126</v>
      </c>
      <c r="C6" s="37" t="n">
        <f aca="false">Допущения!C31</f>
        <v>0.92</v>
      </c>
      <c r="D6" s="37" t="n">
        <f aca="false">Допущения!D31</f>
        <v>0.88</v>
      </c>
      <c r="E6" s="37" t="n">
        <f aca="false">Допущения!E31</f>
        <v>1.08</v>
      </c>
      <c r="F6" s="37" t="n">
        <f aca="false">Допущения!F31</f>
        <v>0.93</v>
      </c>
      <c r="G6" s="37" t="n">
        <f aca="false">Допущения!G31</f>
        <v>0.94</v>
      </c>
      <c r="H6" s="37" t="n">
        <f aca="false">Допущения!H31</f>
        <v>0.86</v>
      </c>
      <c r="I6" s="37" t="n">
        <f aca="false">Допущения!I31</f>
        <v>0.87</v>
      </c>
      <c r="J6" s="37" t="n">
        <f aca="false">Допущения!J31</f>
        <v>0.97</v>
      </c>
      <c r="K6" s="37" t="n">
        <f aca="false">Допущения!K31</f>
        <v>1.02</v>
      </c>
      <c r="L6" s="37" t="n">
        <f aca="false">Допущения!L31</f>
        <v>1</v>
      </c>
      <c r="M6" s="37" t="n">
        <f aca="false">Допущения!M31</f>
        <v>1.13</v>
      </c>
      <c r="N6" s="37" t="n">
        <f aca="false">Допущения!N31</f>
        <v>1.4</v>
      </c>
    </row>
    <row r="7" customFormat="false" ht="15" hidden="false" customHeight="false" outlineLevel="0" collapsed="false">
      <c r="B7" s="5" t="s">
        <v>127</v>
      </c>
      <c r="C7" s="16" t="n">
        <f aca="false">(1+Допущения!$C$13)^0</f>
        <v>1</v>
      </c>
      <c r="D7" s="16" t="n">
        <f aca="false">(1+Допущения!$C$13)^1</f>
        <v>1.02</v>
      </c>
      <c r="E7" s="16" t="n">
        <f aca="false">(1+Допущения!$C$13)^2</f>
        <v>1.0404</v>
      </c>
      <c r="F7" s="16" t="n">
        <f aca="false">(1+Допущения!$C$13)^3</f>
        <v>1.061208</v>
      </c>
      <c r="G7" s="16" t="n">
        <f aca="false">(1+Допущения!$C$13)^4</f>
        <v>1.08243216</v>
      </c>
      <c r="H7" s="16" t="n">
        <f aca="false">(1+Допущения!$C$13)^5</f>
        <v>1.1040808032</v>
      </c>
      <c r="I7" s="16" t="n">
        <f aca="false">(1+Допущения!$C$13)^6</f>
        <v>1.126162419264</v>
      </c>
      <c r="J7" s="16" t="n">
        <f aca="false">(1+Допущения!$C$13)^7</f>
        <v>1.14868566764928</v>
      </c>
      <c r="K7" s="16" t="n">
        <f aca="false">(1+Допущения!$C$13)^8</f>
        <v>1.17165938100227</v>
      </c>
      <c r="L7" s="16" t="n">
        <f aca="false">(1+Допущения!$C$13)^9</f>
        <v>1.19509256862231</v>
      </c>
      <c r="M7" s="16" t="n">
        <f aca="false">(1+Допущения!$C$13)^10</f>
        <v>1.21899441999476</v>
      </c>
      <c r="N7" s="16" t="n">
        <f aca="false">(1+Допущения!$C$13)^11</f>
        <v>1.24337430839465</v>
      </c>
    </row>
    <row r="8" customFormat="false" ht="15" hidden="false" customHeight="false" outlineLevel="0" collapsed="false">
      <c r="B8" s="38" t="s">
        <v>128</v>
      </c>
      <c r="C8" s="39" t="n">
        <f aca="false">SUMPRODUCT('Юнит-экономика'!$Q$5:$Q$40,'Юнит-экономика'!$E$5:$E$40)*C$6*C$7</f>
        <v>5467420.528</v>
      </c>
      <c r="D8" s="39" t="n">
        <f aca="false">SUMPRODUCT('Юнит-экономика'!$Q$5:$Q$40,'Юнит-экономика'!$E$5:$E$40)*D$6*D$7</f>
        <v>5334300.72384</v>
      </c>
      <c r="E8" s="39" t="n">
        <f aca="false">SUMPRODUCT('Юнит-экономика'!$Q$5:$Q$40,'Юнит-экономика'!$E$5:$E$40)*E$6*E$7</f>
        <v>6677574.6333888</v>
      </c>
      <c r="F8" s="39" t="n">
        <f aca="false">SUMPRODUCT('Юнит-экономика'!$Q$5:$Q$40,'Юнит-экономика'!$E$5:$E$40)*F$6*F$7</f>
        <v>5865136.3863265</v>
      </c>
      <c r="G8" s="39" t="n">
        <f aca="false">SUMPRODUCT('Юнит-экономика'!$Q$5:$Q$40,'Юнит-экономика'!$E$5:$E$40)*G$6*G$7</f>
        <v>6046766.41635467</v>
      </c>
      <c r="H8" s="39" t="n">
        <f aca="false">SUMPRODUCT('Юнит-экономика'!$Q$5:$Q$40,'Юнит-экономика'!$E$5:$E$40)*H$6*H$7</f>
        <v>5642790.95790034</v>
      </c>
      <c r="I8" s="39" t="n">
        <f aca="false">SUMPRODUCT('Юнит-экономика'!$Q$5:$Q$40,'Юнит-экономика'!$E$5:$E$40)*I$6*I$7</f>
        <v>5822572.90237298</v>
      </c>
      <c r="J8" s="39" t="n">
        <f aca="false">SUMPRODUCT('Юнит-экономика'!$Q$5:$Q$40,'Юнит-экономика'!$E$5:$E$40)*J$6*J$7</f>
        <v>6621670.83862968</v>
      </c>
      <c r="K8" s="39" t="n">
        <f aca="false">SUMPRODUCT('Юнит-экономика'!$Q$5:$Q$40,'Юнит-экономика'!$E$5:$E$40)*K$6*K$7</f>
        <v>7102253.95928899</v>
      </c>
      <c r="L8" s="39" t="n">
        <f aca="false">SUMPRODUCT('Юнит-экономика'!$Q$5:$Q$40,'Юнит-экономика'!$E$5:$E$40)*L$6*L$7</f>
        <v>7102253.95928899</v>
      </c>
      <c r="M8" s="39" t="n">
        <f aca="false">SUMPRODUCT('Юнит-экономика'!$Q$5:$Q$40,'Юнит-экономика'!$E$5:$E$40)*M$6*M$7</f>
        <v>8186057.91347649</v>
      </c>
      <c r="N8" s="39" t="n">
        <f aca="false">SUMPRODUCT('Юнит-экономика'!$Q$5:$Q$40,'Юнит-экономика'!$E$5:$E$40)*N$6*N$7</f>
        <v>10344859.026942</v>
      </c>
      <c r="O8" s="40" t="n">
        <f aca="false">SUM(C8:N8)</f>
        <v>80213658.2458094</v>
      </c>
      <c r="P8" s="15" t="n">
        <f aca="false">IFERROR(O8/$O$8,0)</f>
        <v>1</v>
      </c>
    </row>
    <row r="9" customFormat="false" ht="15" hidden="false" customHeight="false" outlineLevel="0" collapsed="false">
      <c r="B9" s="11" t="s">
        <v>129</v>
      </c>
      <c r="C9" s="27" t="n">
        <f aca="false">SUMPRODUCT('Юнит-экономика'!$Q$5:$Q$40,'Юнит-экономика'!$F$5:$F$40)*C$6*C$7</f>
        <v>2213988.464</v>
      </c>
      <c r="D9" s="27" t="n">
        <f aca="false">SUMPRODUCT('Юнит-экономика'!$Q$5:$Q$40,'Юнит-экономика'!$F$5:$F$40)*D$6*D$7</f>
        <v>2160082.65792</v>
      </c>
      <c r="E9" s="27" t="n">
        <f aca="false">SUMPRODUCT('Юнит-экономика'!$Q$5:$Q$40,'Юнит-экономика'!$F$5:$F$40)*E$6*E$7</f>
        <v>2704030.7454144</v>
      </c>
      <c r="F9" s="27" t="n">
        <f aca="false">SUMPRODUCT('Юнит-экономика'!$Q$5:$Q$40,'Юнит-экономика'!$F$5:$F$40)*F$6*F$7</f>
        <v>2375040.33805565</v>
      </c>
      <c r="G9" s="27" t="n">
        <f aca="false">SUMPRODUCT('Юнит-экономика'!$Q$5:$Q$40,'Юнит-экономика'!$F$5:$F$40)*G$6*G$7</f>
        <v>2448589.97433092</v>
      </c>
      <c r="H9" s="27" t="n">
        <f aca="false">SUMPRODUCT('Юнит-экономика'!$Q$5:$Q$40,'Юнит-экономика'!$F$5:$F$40)*H$6*H$7</f>
        <v>2285003.324982</v>
      </c>
      <c r="I9" s="27" t="n">
        <f aca="false">SUMPRODUCT('Юнит-экономика'!$Q$5:$Q$40,'Юнит-экономика'!$F$5:$F$40)*I$6*I$7</f>
        <v>2357804.59370817</v>
      </c>
      <c r="J9" s="27" t="n">
        <f aca="false">SUMPRODUCT('Юнит-экономика'!$Q$5:$Q$40,'Юнит-экономика'!$F$5:$F$40)*J$6*J$7</f>
        <v>2681392.94829295</v>
      </c>
      <c r="K9" s="27" t="n">
        <f aca="false">SUMPRODUCT('Юнит-экономика'!$Q$5:$Q$40,'Юнит-экономика'!$F$5:$F$40)*K$6*K$7</f>
        <v>2876001.26124122</v>
      </c>
      <c r="L9" s="27" t="n">
        <f aca="false">SUMPRODUCT('Юнит-экономика'!$Q$5:$Q$40,'Юнит-экономика'!$F$5:$F$40)*L$6*L$7</f>
        <v>2876001.26124122</v>
      </c>
      <c r="M9" s="27" t="n">
        <f aca="false">SUMPRODUCT('Юнит-экономика'!$Q$5:$Q$40,'Юнит-экономика'!$F$5:$F$40)*M$6*M$7</f>
        <v>3314879.05370663</v>
      </c>
      <c r="N9" s="27" t="n">
        <f aca="false">SUMPRODUCT('Юнит-экономика'!$Q$5:$Q$40,'Юнит-экономика'!$F$5:$F$40)*N$6*N$7</f>
        <v>4189068.39707352</v>
      </c>
      <c r="O9" s="24" t="n">
        <f aca="false">SUM(C9:N9)</f>
        <v>32481883.0199667</v>
      </c>
      <c r="P9" s="15" t="n">
        <f aca="false">IFERROR(O9/$O$8,0)</f>
        <v>0.404942047655128</v>
      </c>
    </row>
    <row r="10" customFormat="false" ht="15" hidden="false" customHeight="false" outlineLevel="0" collapsed="false">
      <c r="B10" s="11" t="s">
        <v>130</v>
      </c>
      <c r="C10" s="27" t="n">
        <f aca="false">SUMPRODUCT('Юнит-экономика'!$Q$5:$Q$40,'Юнит-экономика'!$G$5:$G$40)*C$6*C$7</f>
        <v>1027542.42917</v>
      </c>
      <c r="D10" s="27" t="n">
        <f aca="false">SUMPRODUCT('Юнит-экономика'!$Q$5:$Q$40,'Юнит-экономика'!$G$5:$G$40)*D$6*D$7</f>
        <v>1002524.0048076</v>
      </c>
      <c r="E10" s="27" t="n">
        <f aca="false">SUMPRODUCT('Юнит-экономика'!$Q$5:$Q$40,'Юнит-экономика'!$G$5:$G$40)*E$6*E$7</f>
        <v>1254977.77692733</v>
      </c>
      <c r="F10" s="27" t="n">
        <f aca="false">SUMPRODUCT('Юнит-экономика'!$Q$5:$Q$40,'Юнит-экономика'!$G$5:$G$40)*F$6*F$7</f>
        <v>1102288.81406784</v>
      </c>
      <c r="G10" s="27" t="n">
        <f aca="false">SUMPRODUCT('Юнит-экономика'!$Q$5:$Q$40,'Юнит-экономика'!$G$5:$G$40)*G$6*G$7</f>
        <v>1136424.20960026</v>
      </c>
      <c r="H10" s="27" t="n">
        <f aca="false">SUMPRODUCT('Юнит-экономика'!$Q$5:$Q$40,'Юнит-экономика'!$G$5:$G$40)*H$6*H$7</f>
        <v>1060501.40070357</v>
      </c>
      <c r="I10" s="27" t="n">
        <f aca="false">SUMPRODUCT('Юнит-экономика'!$Q$5:$Q$40,'Юнит-экономика'!$G$5:$G$40)*I$6*I$7</f>
        <v>1094289.46858645</v>
      </c>
      <c r="J10" s="27" t="n">
        <f aca="false">SUMPRODUCT('Юнит-экономика'!$Q$5:$Q$40,'Юнит-экономика'!$G$5:$G$40)*J$6*J$7</f>
        <v>1244471.26462003</v>
      </c>
      <c r="K10" s="27" t="n">
        <f aca="false">SUMPRODUCT('Юнит-экономика'!$Q$5:$Q$40,'Юнит-экономика'!$G$5:$G$40)*K$6*K$7</f>
        <v>1334791.65330998</v>
      </c>
      <c r="L10" s="27" t="n">
        <f aca="false">SUMPRODUCT('Юнит-экономика'!$Q$5:$Q$40,'Юнит-экономика'!$G$5:$G$40)*L$6*L$7</f>
        <v>1334791.65330998</v>
      </c>
      <c r="M10" s="27" t="n">
        <f aca="false">SUMPRODUCT('Юнит-экономика'!$Q$5:$Q$40,'Юнит-экономика'!$G$5:$G$40)*M$6*M$7</f>
        <v>1538480.85960509</v>
      </c>
      <c r="N10" s="27" t="n">
        <f aca="false">SUMPRODUCT('Юнит-экономика'!$Q$5:$Q$40,'Юнит-экономика'!$G$5:$G$40)*N$6*N$7</f>
        <v>1944204.13054519</v>
      </c>
      <c r="O10" s="24" t="n">
        <f aca="false">SUM(C10:N10)</f>
        <v>15075287.6652533</v>
      </c>
      <c r="P10" s="15" t="n">
        <f aca="false">IFERROR(O10/$O$8,0)</f>
        <v>0.187939161421314</v>
      </c>
    </row>
    <row r="11" customFormat="false" ht="15" hidden="false" customHeight="false" outlineLevel="0" collapsed="false">
      <c r="B11" s="11" t="s">
        <v>131</v>
      </c>
      <c r="C11" s="27" t="n">
        <f aca="false">SUMPRODUCT('Юнит-экономика'!$Q$5:$Q$40,'Юнит-экономика'!$H$5:$H$40)+SUMPRODUCT('Юнит-экономика'!$Q$5:$Q$40,'Юнит-экономика'!$I$5:$I$40)*C$6*C$7</f>
        <v>757681.9896</v>
      </c>
      <c r="D11" s="27" t="n">
        <f aca="false">SUMPRODUCT('Юнит-экономика'!$Q$5:$Q$40,'Юнит-экономика'!$H$5:$H$40)+SUMPRODUCT('Юнит-экономика'!$Q$5:$Q$40,'Юнит-экономика'!$I$5:$I$40)*D$6*D$7</f>
        <v>756079.230288</v>
      </c>
      <c r="E11" s="27" t="n">
        <f aca="false">SUMPRODUCT('Юнит-экономика'!$Q$5:$Q$40,'Юнит-экономика'!$H$5:$H$40)+SUMPRODUCT('Юнит-экономика'!$Q$5:$Q$40,'Юнит-экономика'!$I$5:$I$40)*E$6*E$7</f>
        <v>772252.21657416</v>
      </c>
      <c r="F11" s="27" t="n">
        <f aca="false">SUMPRODUCT('Юнит-экономика'!$Q$5:$Q$40,'Юнит-экономика'!$H$5:$H$40)+SUMPRODUCT('Юнит-экономика'!$Q$5:$Q$40,'Юнит-экономика'!$I$5:$I$40)*F$6*F$7</f>
        <v>762470.479182637</v>
      </c>
      <c r="G11" s="27" t="n">
        <f aca="false">SUMPRODUCT('Юнит-экономика'!$Q$5:$Q$40,'Юнит-экономика'!$H$5:$H$40)+SUMPRODUCT('Юнит-экономика'!$Q$5:$Q$40,'Юнит-экономика'!$I$5:$I$40)*G$6*G$7</f>
        <v>764657.300473454</v>
      </c>
      <c r="H11" s="27" t="n">
        <f aca="false">SUMPRODUCT('Юнит-экономика'!$Q$5:$Q$40,'Юнит-экономика'!$H$5:$H$40)+SUMPRODUCT('Юнит-экономика'!$Q$5:$Q$40,'Юнит-экономика'!$I$5:$I$40)*H$6*H$7</f>
        <v>759793.445452462</v>
      </c>
      <c r="I11" s="27" t="n">
        <f aca="false">SUMPRODUCT('Юнит-экономика'!$Q$5:$Q$40,'Юнит-экономика'!$H$5:$H$40)+SUMPRODUCT('Юнит-экономика'!$Q$5:$Q$40,'Юнит-экономика'!$I$5:$I$40)*I$6*I$7</f>
        <v>761958.015836645</v>
      </c>
      <c r="J11" s="27" t="n">
        <f aca="false">SUMPRODUCT('Юнит-экономика'!$Q$5:$Q$40,'Юнит-экономика'!$H$5:$H$40)+SUMPRODUCT('Юнит-экономика'!$Q$5:$Q$40,'Юнит-экономика'!$I$5:$I$40)*J$6*J$7</f>
        <v>771579.136199743</v>
      </c>
      <c r="K11" s="27" t="n">
        <f aca="false">SUMPRODUCT('Юнит-экономика'!$Q$5:$Q$40,'Юнит-экономика'!$H$5:$H$40)+SUMPRODUCT('Юнит-экономика'!$Q$5:$Q$40,'Юнит-экономика'!$I$5:$I$40)*K$6*K$7</f>
        <v>777365.345672384</v>
      </c>
      <c r="L11" s="27" t="n">
        <f aca="false">SUMPRODUCT('Юнит-экономика'!$Q$5:$Q$40,'Юнит-экономика'!$H$5:$H$40)+SUMPRODUCT('Юнит-экономика'!$Q$5:$Q$40,'Юнит-экономика'!$I$5:$I$40)*L$6*L$7</f>
        <v>777365.345672384</v>
      </c>
      <c r="M11" s="27" t="n">
        <f aca="false">SUMPRODUCT('Юнит-экономика'!$Q$5:$Q$40,'Юнит-экономика'!$H$5:$H$40)+SUMPRODUCT('Юнит-экономика'!$Q$5:$Q$40,'Юнит-экономика'!$I$5:$I$40)*M$6*M$7</f>
        <v>790414.31979699</v>
      </c>
      <c r="N11" s="27" t="n">
        <f aca="false">SUMPRODUCT('Юнит-экономика'!$Q$5:$Q$40,'Юнит-экономика'!$H$5:$H$40)+SUMPRODUCT('Юнит-экономика'!$Q$5:$Q$40,'Юнит-экономика'!$I$5:$I$40)*N$6*N$7</f>
        <v>816406.234442568</v>
      </c>
      <c r="O11" s="24" t="n">
        <f aca="false">SUM(C11:N11)</f>
        <v>9268023.05919143</v>
      </c>
      <c r="P11" s="15" t="n">
        <f aca="false">IFERROR(O11/$O$8,0)</f>
        <v>0.115541707757427</v>
      </c>
    </row>
    <row r="12" customFormat="false" ht="15" hidden="false" customHeight="false" outlineLevel="0" collapsed="false">
      <c r="B12" s="11" t="s">
        <v>132</v>
      </c>
      <c r="C12" s="27" t="n">
        <f aca="false">SUMPRODUCT('Юнит-экономика'!$Q$5:$Q$40,'Юнит-экономика'!$J$5:$J$40)*C$6*C$7</f>
        <v>630241.83286</v>
      </c>
      <c r="D12" s="27" t="n">
        <f aca="false">SUMPRODUCT('Юнит-экономика'!$Q$5:$Q$40,'Юнит-экономика'!$J$5:$J$40)*D$6*D$7</f>
        <v>614896.8143208</v>
      </c>
      <c r="E12" s="27" t="n">
        <f aca="false">SUMPRODUCT('Юнит-экономика'!$Q$5:$Q$40,'Юнит-экономика'!$J$5:$J$40)*E$6*E$7</f>
        <v>769739.012108856</v>
      </c>
      <c r="F12" s="27" t="n">
        <f aca="false">SUMPRODUCT('Юнит-экономика'!$Q$5:$Q$40,'Юнит-экономика'!$J$5:$J$40)*F$6*F$7</f>
        <v>676087.432302279</v>
      </c>
      <c r="G12" s="27" t="n">
        <f aca="false">SUMPRODUCT('Юнит-экономика'!$Q$5:$Q$40,'Юнит-экономика'!$J$5:$J$40)*G$6*G$7</f>
        <v>697024.333431639</v>
      </c>
      <c r="H12" s="27" t="n">
        <f aca="false">SUMPRODUCT('Юнит-экономика'!$Q$5:$Q$40,'Юнит-экономика'!$J$5:$J$40)*H$6*H$7</f>
        <v>650457.175836419</v>
      </c>
      <c r="I12" s="27" t="n">
        <f aca="false">SUMPRODUCT('Юнит-экономика'!$Q$5:$Q$40,'Юнит-экономика'!$J$5:$J$40)*I$6*I$7</f>
        <v>671181.043996789</v>
      </c>
      <c r="J12" s="27" t="n">
        <f aca="false">SUMPRODUCT('Юнит-экономика'!$Q$5:$Q$40,'Юнит-экономика'!$J$5:$J$40)*J$6*J$7</f>
        <v>763294.856241865</v>
      </c>
      <c r="K12" s="27" t="n">
        <f aca="false">SUMPRODUCT('Юнит-экономика'!$Q$5:$Q$40,'Юнит-экономика'!$J$5:$J$40)*K$6*K$7</f>
        <v>818692.750962924</v>
      </c>
      <c r="L12" s="27" t="n">
        <f aca="false">SUMPRODUCT('Юнит-экономика'!$Q$5:$Q$40,'Юнит-экономика'!$J$5:$J$40)*L$6*L$7</f>
        <v>818692.750962925</v>
      </c>
      <c r="M12" s="27" t="n">
        <f aca="false">SUMPRODUCT('Юнит-экономика'!$Q$5:$Q$40,'Юнит-экономика'!$J$5:$J$40)*M$6*M$7</f>
        <v>943625.264759867</v>
      </c>
      <c r="N12" s="27" t="n">
        <f aca="false">SUMPRODUCT('Юнит-экономика'!$Q$5:$Q$40,'Юнит-экономика'!$J$5:$J$40)*N$6*N$7</f>
        <v>1192475.11334256</v>
      </c>
      <c r="O12" s="24" t="n">
        <f aca="false">SUM(C12:N12)</f>
        <v>9246408.38112692</v>
      </c>
      <c r="P12" s="15" t="n">
        <f aca="false">IFERROR(O12/$O$8,0)</f>
        <v>0.115272243946186</v>
      </c>
    </row>
    <row r="13" customFormat="false" ht="15" hidden="false" customHeight="false" outlineLevel="0" collapsed="false">
      <c r="B13" s="11" t="s">
        <v>133</v>
      </c>
      <c r="C13" s="27" t="n">
        <f aca="false">SUMPRODUCT('Юнит-экономика'!$Q$5:$Q$40,'Юнит-экономика'!$K$5:$K$40)*C$6*C$7</f>
        <v>328045.23168</v>
      </c>
      <c r="D13" s="27" t="n">
        <f aca="false">SUMPRODUCT('Юнит-экономика'!$Q$5:$Q$40,'Юнит-экономика'!$K$5:$K$40)*D$6*D$7</f>
        <v>320058.0434304</v>
      </c>
      <c r="E13" s="27" t="n">
        <f aca="false">SUMPRODUCT('Юнит-экономика'!$Q$5:$Q$40,'Юнит-экономика'!$K$5:$K$40)*E$6*E$7</f>
        <v>400654.478003328</v>
      </c>
      <c r="F13" s="27" t="n">
        <f aca="false">SUMPRODUCT('Юнит-экономика'!$Q$5:$Q$40,'Юнит-экономика'!$K$5:$K$40)*F$6*F$7</f>
        <v>351908.18317959</v>
      </c>
      <c r="G13" s="27" t="n">
        <f aca="false">SUMPRODUCT('Юнит-экономика'!$Q$5:$Q$40,'Юнит-экономика'!$K$5:$K$40)*G$6*G$7</f>
        <v>362805.98498128</v>
      </c>
      <c r="H13" s="27" t="n">
        <f aca="false">SUMPRODUCT('Юнит-экономика'!$Q$5:$Q$40,'Юнит-экономика'!$K$5:$K$40)*H$6*H$7</f>
        <v>338567.45747402</v>
      </c>
      <c r="I13" s="27" t="n">
        <f aca="false">SUMPRODUCT('Юнит-экономика'!$Q$5:$Q$40,'Юнит-экономика'!$K$5:$K$40)*I$6*I$7</f>
        <v>349354.374142379</v>
      </c>
      <c r="J13" s="27" t="n">
        <f aca="false">SUMPRODUCT('Юнит-экономика'!$Q$5:$Q$40,'Юнит-экономика'!$K$5:$K$40)*J$6*J$7</f>
        <v>397300.250317781</v>
      </c>
      <c r="K13" s="27" t="n">
        <f aca="false">SUMPRODUCT('Юнит-экономика'!$Q$5:$Q$40,'Юнит-экономика'!$K$5:$K$40)*K$6*K$7</f>
        <v>426135.23755734</v>
      </c>
      <c r="L13" s="27" t="n">
        <f aca="false">SUMPRODUCT('Юнит-экономика'!$Q$5:$Q$40,'Юнит-экономика'!$K$5:$K$40)*L$6*L$7</f>
        <v>426135.23755734</v>
      </c>
      <c r="M13" s="27" t="n">
        <f aca="false">SUMPRODUCT('Юнит-экономика'!$Q$5:$Q$40,'Юнит-экономика'!$K$5:$K$40)*M$6*M$7</f>
        <v>491163.474808589</v>
      </c>
      <c r="N13" s="27" t="n">
        <f aca="false">SUMPRODUCT('Юнит-экономика'!$Q$5:$Q$40,'Юнит-экономика'!$K$5:$K$40)*N$6*N$7</f>
        <v>620691.541616518</v>
      </c>
      <c r="O13" s="24" t="n">
        <f aca="false">SUM(C13:N13)</f>
        <v>4812819.49474856</v>
      </c>
      <c r="P13" s="15" t="n">
        <f aca="false">IFERROR(O13/$O$8,0)</f>
        <v>0.06</v>
      </c>
    </row>
    <row r="14" customFormat="false" ht="15" hidden="false" customHeight="false" outlineLevel="0" collapsed="false">
      <c r="B14" s="41" t="s">
        <v>134</v>
      </c>
      <c r="C14" s="42" t="n">
        <f aca="false">C8-SUM(C9:C13)</f>
        <v>509920.58069</v>
      </c>
      <c r="D14" s="42" t="n">
        <f aca="false">D8-SUM(D9:D13)</f>
        <v>480659.973073199</v>
      </c>
      <c r="E14" s="42" t="n">
        <f aca="false">E8-SUM(E9:E13)</f>
        <v>775920.404360725</v>
      </c>
      <c r="F14" s="42" t="n">
        <f aca="false">F8-SUM(F9:F13)</f>
        <v>597341.139538504</v>
      </c>
      <c r="G14" s="42" t="n">
        <f aca="false">G8-SUM(G9:G13)</f>
        <v>637264.613537114</v>
      </c>
      <c r="H14" s="42" t="n">
        <f aca="false">H8-SUM(H9:H13)</f>
        <v>548468.153451868</v>
      </c>
      <c r="I14" s="42" t="n">
        <f aca="false">I8-SUM(I9:I13)</f>
        <v>587985.406102545</v>
      </c>
      <c r="J14" s="42" t="n">
        <f aca="false">J8-SUM(J9:J13)</f>
        <v>763632.382957307</v>
      </c>
      <c r="K14" s="42" t="n">
        <f aca="false">K8-SUM(K9:K13)</f>
        <v>869267.710545138</v>
      </c>
      <c r="L14" s="42" t="n">
        <f aca="false">L8-SUM(L9:L13)</f>
        <v>869267.710545138</v>
      </c>
      <c r="M14" s="42" t="n">
        <f aca="false">M8-SUM(M9:M13)</f>
        <v>1107494.94079932</v>
      </c>
      <c r="N14" s="42" t="n">
        <f aca="false">N8-SUM(N9:N13)</f>
        <v>1582013.60992163</v>
      </c>
      <c r="O14" s="40" t="n">
        <f aca="false">SUM(C14:N14)</f>
        <v>9329236.62552249</v>
      </c>
      <c r="P14" s="15" t="n">
        <f aca="false">IFERROR(O14/$O$8,0)</f>
        <v>0.116304839219945</v>
      </c>
    </row>
    <row r="15" customFormat="false" ht="15" hidden="false" customHeight="false" outlineLevel="0" collapsed="false">
      <c r="B15" s="11" t="s">
        <v>135</v>
      </c>
      <c r="C15" s="28" t="n">
        <f aca="false">Допущения!$C$12</f>
        <v>450000</v>
      </c>
      <c r="D15" s="28" t="n">
        <f aca="false">Допущения!$C$12</f>
        <v>450000</v>
      </c>
      <c r="E15" s="28" t="n">
        <f aca="false">Допущения!$C$12</f>
        <v>450000</v>
      </c>
      <c r="F15" s="28" t="n">
        <f aca="false">Допущения!$C$12</f>
        <v>450000</v>
      </c>
      <c r="G15" s="28" t="n">
        <f aca="false">Допущения!$C$12</f>
        <v>450000</v>
      </c>
      <c r="H15" s="28" t="n">
        <f aca="false">Допущения!$C$12</f>
        <v>450000</v>
      </c>
      <c r="I15" s="28" t="n">
        <f aca="false">Допущения!$C$12</f>
        <v>450000</v>
      </c>
      <c r="J15" s="28" t="n">
        <f aca="false">Допущения!$C$12</f>
        <v>450000</v>
      </c>
      <c r="K15" s="28" t="n">
        <f aca="false">Допущения!$C$12</f>
        <v>450000</v>
      </c>
      <c r="L15" s="28" t="n">
        <f aca="false">Допущения!$C$12</f>
        <v>450000</v>
      </c>
      <c r="M15" s="28" t="n">
        <f aca="false">Допущения!$C$12</f>
        <v>450000</v>
      </c>
      <c r="N15" s="28" t="n">
        <f aca="false">Допущения!$C$12</f>
        <v>450000</v>
      </c>
      <c r="O15" s="24" t="n">
        <f aca="false">SUM(C15:N15)</f>
        <v>5400000</v>
      </c>
      <c r="P15" s="15" t="n">
        <f aca="false">IFERROR(O15/$O$8,0)</f>
        <v>0.0673202060358856</v>
      </c>
    </row>
    <row r="16" customFormat="false" ht="15" hidden="false" customHeight="false" outlineLevel="0" collapsed="false">
      <c r="B16" s="43" t="s">
        <v>136</v>
      </c>
      <c r="C16" s="44" t="n">
        <f aca="false">C14-C15</f>
        <v>59920.5806900002</v>
      </c>
      <c r="D16" s="44" t="n">
        <f aca="false">D14-D15</f>
        <v>30659.9730731994</v>
      </c>
      <c r="E16" s="44" t="n">
        <f aca="false">E14-E15</f>
        <v>325920.404360725</v>
      </c>
      <c r="F16" s="44" t="n">
        <f aca="false">F14-F15</f>
        <v>147341.139538504</v>
      </c>
      <c r="G16" s="44" t="n">
        <f aca="false">G14-G15</f>
        <v>187264.613537114</v>
      </c>
      <c r="H16" s="44" t="n">
        <f aca="false">H14-H15</f>
        <v>98468.1534518683</v>
      </c>
      <c r="I16" s="44" t="n">
        <f aca="false">I14-I15</f>
        <v>137985.406102545</v>
      </c>
      <c r="J16" s="44" t="n">
        <f aca="false">J14-J15</f>
        <v>313632.382957307</v>
      </c>
      <c r="K16" s="44" t="n">
        <f aca="false">K14-K15</f>
        <v>419267.710545138</v>
      </c>
      <c r="L16" s="44" t="n">
        <f aca="false">L14-L15</f>
        <v>419267.710545138</v>
      </c>
      <c r="M16" s="44" t="n">
        <f aca="false">M14-M15</f>
        <v>657494.940799325</v>
      </c>
      <c r="N16" s="44" t="n">
        <f aca="false">N14-N15</f>
        <v>1132013.60992163</v>
      </c>
      <c r="O16" s="45" t="n">
        <f aca="false">SUM(C16:N16)</f>
        <v>3929236.62552249</v>
      </c>
      <c r="P16" s="15" t="n">
        <f aca="false">IFERROR(O16/$O$8,0)</f>
        <v>0.0489846331840595</v>
      </c>
    </row>
    <row r="17" customFormat="false" ht="15" hidden="false" customHeight="false" outlineLevel="0" collapsed="false">
      <c r="B17" s="11" t="s">
        <v>137</v>
      </c>
      <c r="C17" s="27" t="n">
        <f aca="false">SUM($C$16:C16)</f>
        <v>59920.5806900002</v>
      </c>
      <c r="D17" s="27" t="n">
        <f aca="false">SUM($C$16:D16)</f>
        <v>90580.5537631996</v>
      </c>
      <c r="E17" s="27" t="n">
        <f aca="false">SUM($C$16:E16)</f>
        <v>416500.958123924</v>
      </c>
      <c r="F17" s="27" t="n">
        <f aca="false">SUM($C$16:F16)</f>
        <v>563842.097662428</v>
      </c>
      <c r="G17" s="27" t="n">
        <f aca="false">SUM($C$16:G16)</f>
        <v>751106.711199543</v>
      </c>
      <c r="H17" s="27" t="n">
        <f aca="false">SUM($C$16:H16)</f>
        <v>849574.864651411</v>
      </c>
      <c r="I17" s="27" t="n">
        <f aca="false">SUM($C$16:I16)</f>
        <v>987560.270753956</v>
      </c>
      <c r="J17" s="27" t="n">
        <f aca="false">SUM($C$16:J16)</f>
        <v>1301192.65371126</v>
      </c>
      <c r="K17" s="27" t="n">
        <f aca="false">SUM($C$16:K16)</f>
        <v>1720460.3642564</v>
      </c>
      <c r="L17" s="27" t="n">
        <f aca="false">SUM($C$16:L16)</f>
        <v>2139728.07480154</v>
      </c>
      <c r="M17" s="27" t="n">
        <f aca="false">SUM($C$16:M16)</f>
        <v>2797223.01560086</v>
      </c>
      <c r="N17" s="27" t="n">
        <f aca="false">SUM($C$16:N16)</f>
        <v>3929236.62552249</v>
      </c>
      <c r="O17" s="24" t="n">
        <f aca="false">N17</f>
        <v>3929236.62552249</v>
      </c>
    </row>
    <row r="18" customFormat="false" ht="15" hidden="false" customHeight="false" outlineLevel="0" collapsed="false">
      <c r="B18" s="11" t="s">
        <v>138</v>
      </c>
      <c r="C18" s="15" t="n">
        <f aca="false">IFERROR(C14/C8,0)</f>
        <v>0.0932652935837973</v>
      </c>
      <c r="D18" s="15" t="n">
        <f aca="false">IFERROR(D14/D8,0)</f>
        <v>0.0901074007554615</v>
      </c>
      <c r="E18" s="15" t="n">
        <f aca="false">IFERROR(E14/E8,0)</f>
        <v>0.116197938167702</v>
      </c>
      <c r="F18" s="15" t="n">
        <f aca="false">IFERROR(F14/F8,0)</f>
        <v>0.101846078282356</v>
      </c>
      <c r="G18" s="15" t="n">
        <f aca="false">IFERROR(G14/G8,0)</f>
        <v>0.105389322103382</v>
      </c>
      <c r="H18" s="15" t="n">
        <f aca="false">IFERROR(H14/H8,0)</f>
        <v>0.0971980279871915</v>
      </c>
      <c r="I18" s="15" t="n">
        <f aca="false">IFERROR(I14/I8,0)</f>
        <v>0.100983777440195</v>
      </c>
      <c r="J18" s="15" t="n">
        <f aca="false">IFERROR(J14/J8,0)</f>
        <v>0.115323216989647</v>
      </c>
      <c r="K18" s="15" t="n">
        <f aca="false">IFERROR(K14/K8,0)</f>
        <v>0.122393217072762</v>
      </c>
      <c r="L18" s="15" t="n">
        <f aca="false">IFERROR(L14/L8,0)</f>
        <v>0.122393217072762</v>
      </c>
      <c r="M18" s="15" t="n">
        <f aca="false">IFERROR(M14/M8,0)</f>
        <v>0.135290386716674</v>
      </c>
      <c r="N18" s="15" t="n">
        <f aca="false">IFERROR(N14/N8,0)</f>
        <v>0.152927517504246</v>
      </c>
      <c r="O18" s="46" t="n">
        <f aca="false">IFERROR(O14/O8,0)</f>
        <v>0.116304839219945</v>
      </c>
    </row>
    <row r="19" customFormat="false" ht="15" hidden="false" customHeight="false" outlineLevel="0" collapsed="false">
      <c r="B19" s="11" t="s">
        <v>139</v>
      </c>
      <c r="C19" s="15" t="n">
        <f aca="false">IFERROR(C12/C8,0)</f>
        <v>0.115272243946186</v>
      </c>
      <c r="D19" s="15" t="n">
        <f aca="false">IFERROR(D12/D8,0)</f>
        <v>0.115272243946186</v>
      </c>
      <c r="E19" s="15" t="n">
        <f aca="false">IFERROR(E12/E8,0)</f>
        <v>0.115272243946186</v>
      </c>
      <c r="F19" s="15" t="n">
        <f aca="false">IFERROR(F12/F8,0)</f>
        <v>0.115272243946186</v>
      </c>
      <c r="G19" s="15" t="n">
        <f aca="false">IFERROR(G12/G8,0)</f>
        <v>0.115272243946186</v>
      </c>
      <c r="H19" s="15" t="n">
        <f aca="false">IFERROR(H12/H8,0)</f>
        <v>0.115272243946186</v>
      </c>
      <c r="I19" s="15" t="n">
        <f aca="false">IFERROR(I12/I8,0)</f>
        <v>0.115272243946186</v>
      </c>
      <c r="J19" s="15" t="n">
        <f aca="false">IFERROR(J12/J8,0)</f>
        <v>0.115272243946186</v>
      </c>
      <c r="K19" s="15" t="n">
        <f aca="false">IFERROR(K12/K8,0)</f>
        <v>0.115272243946186</v>
      </c>
      <c r="L19" s="15" t="n">
        <f aca="false">IFERROR(L12/L8,0)</f>
        <v>0.115272243946186</v>
      </c>
      <c r="M19" s="15" t="n">
        <f aca="false">IFERROR(M12/M8,0)</f>
        <v>0.115272243946186</v>
      </c>
      <c r="N19" s="15" t="n">
        <f aca="false">IFERROR(N12/N8,0)</f>
        <v>0.115272243946186</v>
      </c>
      <c r="O19" s="46" t="n">
        <f aca="false">IFERROR(O12/O8,0)</f>
        <v>0.115272243946186</v>
      </c>
    </row>
    <row r="20" customFormat="false" ht="15" hidden="false" customHeight="false" outlineLevel="0" collapsed="false">
      <c r="B20" s="11" t="s">
        <v>140</v>
      </c>
      <c r="C20" s="47" t="n">
        <f aca="false">COUNTIF(C16:N16,"&lt;0")</f>
        <v>0</v>
      </c>
    </row>
    <row r="21" customFormat="false" ht="15" hidden="false" customHeight="false" outlineLevel="0" collapsed="false">
      <c r="B21" s="5" t="s">
        <v>141</v>
      </c>
      <c r="C21" s="19" t="n">
        <f aca="false">SUMPRODUCT(C6:N6,C7:N7)</f>
        <v>13.4975104271227</v>
      </c>
    </row>
    <row r="24" customFormat="false" ht="15" hidden="false" customHeight="false" outlineLevel="0" collapsed="false">
      <c r="B24" s="7" t="s">
        <v>142</v>
      </c>
    </row>
    <row r="25" customFormat="false" ht="30" hidden="false" customHeight="true" outlineLevel="0" collapsed="false">
      <c r="B25" s="6" t="s">
        <v>20</v>
      </c>
      <c r="C25" s="6" t="s">
        <v>143</v>
      </c>
      <c r="D25" s="6" t="s">
        <v>144</v>
      </c>
      <c r="E25" s="6" t="s">
        <v>145</v>
      </c>
      <c r="F25" s="6" t="s">
        <v>146</v>
      </c>
    </row>
    <row r="26" customFormat="false" ht="15" hidden="false" customHeight="false" outlineLevel="0" collapsed="false">
      <c r="B26" s="7" t="s">
        <v>27</v>
      </c>
      <c r="C26" s="27" t="n">
        <f aca="false">SUMIFS('Юнит-экономика'!$R$5:$R$40,'Юнит-экономика'!$B$5:$B$40,B26)*$C$21</f>
        <v>36657961.4555788</v>
      </c>
      <c r="D26" s="27" t="n">
        <f aca="false">SUMIFS('Юнит-экономика'!$S$5:$S$40,'Юнит-экономика'!$B$5:$B$40,B26)*$C$21</f>
        <v>1351465.92840706</v>
      </c>
      <c r="E26" s="15" t="n">
        <f aca="false">IFERROR(D26/C26,0)</f>
        <v>0.0368669144367105</v>
      </c>
      <c r="F26" s="15" t="n">
        <f aca="false">IFERROR(C26/SUM($C$26:$C$28),0)</f>
        <v>0.45700398482317</v>
      </c>
    </row>
    <row r="27" customFormat="false" ht="15" hidden="false" customHeight="false" outlineLevel="0" collapsed="false">
      <c r="B27" s="7" t="s">
        <v>28</v>
      </c>
      <c r="C27" s="27" t="n">
        <f aca="false">SUMIFS('Юнит-экономика'!$R$5:$R$40,'Юнит-экономика'!$B$5:$B$40,B27)*$C$21</f>
        <v>27159585.8757505</v>
      </c>
      <c r="D27" s="27" t="n">
        <f aca="false">SUMIFS('Юнит-экономика'!$S$5:$S$40,'Юнит-экономика'!$B$5:$B$40,B27)*$C$21</f>
        <v>3083754.17259895</v>
      </c>
      <c r="E27" s="15" t="n">
        <f aca="false">IFERROR(D27/C27,0)</f>
        <v>0.113542017419061</v>
      </c>
      <c r="F27" s="15" t="n">
        <f aca="false">IFERROR(C27/SUM($C$26:$C$28),0)</f>
        <v>0.338590540186083</v>
      </c>
    </row>
    <row r="28" customFormat="false" ht="15" hidden="false" customHeight="false" outlineLevel="0" collapsed="false">
      <c r="B28" s="7" t="s">
        <v>29</v>
      </c>
      <c r="C28" s="27" t="n">
        <f aca="false">SUMIFS('Юнит-экономика'!$R$5:$R$40,'Юнит-экономика'!$B$5:$B$40,B28)*$C$21</f>
        <v>16396110.9144801</v>
      </c>
      <c r="D28" s="27" t="n">
        <f aca="false">SUMIFS('Юнит-экономика'!$S$5:$S$40,'Юнит-экономика'!$B$5:$B$40,B28)*$C$21</f>
        <v>3857957.38390353</v>
      </c>
      <c r="E28" s="15" t="n">
        <f aca="false">IFERROR(D28/C28,0)</f>
        <v>0.235297102100987</v>
      </c>
      <c r="F28" s="15" t="n">
        <f aca="false">IFERROR(C28/SUM($C$26:$C$28),0)</f>
        <v>0.204405474990747</v>
      </c>
    </row>
    <row r="29" customFormat="false" ht="15" hidden="false" customHeight="false" outlineLevel="0" collapsed="false">
      <c r="B29" s="5" t="s">
        <v>147</v>
      </c>
      <c r="C29" s="5" t="str">
        <f aca="false">IF(ABS(SUM(C26:C28)-O8)&lt;1,"сходится","ОШИБКА")</f>
        <v>сходится</v>
      </c>
    </row>
    <row r="31" customFormat="false" ht="15" hidden="false" customHeight="false" outlineLevel="0" collapsed="false">
      <c r="B31" s="7" t="s">
        <v>148</v>
      </c>
    </row>
    <row r="32" customFormat="false" ht="30" hidden="false" customHeight="true" outlineLevel="0" collapsed="false">
      <c r="B32" s="6" t="s">
        <v>65</v>
      </c>
      <c r="C32" s="6" t="s">
        <v>143</v>
      </c>
      <c r="D32" s="6" t="s">
        <v>144</v>
      </c>
      <c r="E32" s="6" t="s">
        <v>145</v>
      </c>
      <c r="F32" s="6" t="s">
        <v>146</v>
      </c>
    </row>
    <row r="33" customFormat="false" ht="15" hidden="false" customHeight="false" outlineLevel="0" collapsed="false">
      <c r="B33" s="7" t="s">
        <v>74</v>
      </c>
      <c r="C33" s="27" t="n">
        <f aca="false">SUMIFS('Юнит-экономика'!$R$5:$R$40,'Юнит-экономика'!$D$5:$D$40,B33)*$C$21</f>
        <v>31638214.3819642</v>
      </c>
      <c r="D33" s="27" t="n">
        <f aca="false">SUMIFS('Юнит-экономика'!$S$5:$S$40,'Юнит-экономика'!$D$5:$D$40,B33)*$C$21</f>
        <v>5172849.73594044</v>
      </c>
      <c r="E33" s="15" t="n">
        <f aca="false">IFERROR(D33/C33,0)</f>
        <v>0.163500053242237</v>
      </c>
      <c r="F33" s="15" t="n">
        <f aca="false">IFERROR(C33/SUM($C$33:$C$37),0)</f>
        <v>0.394424279778027</v>
      </c>
    </row>
    <row r="34" customFormat="false" ht="15" hidden="false" customHeight="false" outlineLevel="0" collapsed="false">
      <c r="B34" s="7" t="s">
        <v>81</v>
      </c>
      <c r="C34" s="27" t="n">
        <f aca="false">SUMIFS('Юнит-экономика'!$R$5:$R$40,'Юнит-экономика'!$D$5:$D$40,B34)*$C$21</f>
        <v>22026627.7585528</v>
      </c>
      <c r="D34" s="27" t="n">
        <f aca="false">SUMIFS('Юнит-экономика'!$S$5:$S$40,'Юнит-экономика'!$D$5:$D$40,B34)*$C$21</f>
        <v>3496251.85871246</v>
      </c>
      <c r="E34" s="15" t="n">
        <f aca="false">IFERROR(D34/C34,0)</f>
        <v>0.158728421664768</v>
      </c>
      <c r="F34" s="15" t="n">
        <f aca="false">IFERROR(C34/SUM($C$33:$C$37),0)</f>
        <v>0.274599466478061</v>
      </c>
    </row>
    <row r="35" customFormat="false" ht="15" hidden="false" customHeight="false" outlineLevel="0" collapsed="false">
      <c r="B35" s="7" t="s">
        <v>88</v>
      </c>
      <c r="C35" s="27" t="n">
        <f aca="false">SUMIFS('Юнит-экономика'!$R$5:$R$40,'Юнит-экономика'!$D$5:$D$40,B35)*$C$21</f>
        <v>7094979.85352747</v>
      </c>
      <c r="D35" s="27" t="n">
        <f aca="false">SUMIFS('Юнит-экономика'!$S$5:$S$40,'Юнит-экономика'!$D$5:$D$40,B35)*$C$21</f>
        <v>-710047.806439996</v>
      </c>
      <c r="E35" s="15" t="n">
        <f aca="false">IFERROR(D35/C35,0)</f>
        <v>-0.100077494383155</v>
      </c>
      <c r="F35" s="15" t="n">
        <f aca="false">IFERROR(C35/SUM($C$33:$C$37),0)</f>
        <v>0.0884510195481345</v>
      </c>
    </row>
    <row r="36" customFormat="false" ht="15" hidden="false" customHeight="false" outlineLevel="0" collapsed="false">
      <c r="B36" s="7" t="s">
        <v>93</v>
      </c>
      <c r="C36" s="27" t="n">
        <f aca="false">SUMIFS('Юнит-экономика'!$R$5:$R$40,'Юнит-экономика'!$D$5:$D$40,B36)*$C$21</f>
        <v>11224113.9478741</v>
      </c>
      <c r="D36" s="27" t="n">
        <f aca="false">SUMIFS('Юнит-экономика'!$S$5:$S$40,'Юнит-экономика'!$D$5:$D$40,B36)*$C$21</f>
        <v>439343.066818401</v>
      </c>
      <c r="E36" s="15" t="n">
        <f aca="false">IFERROR(D36/C36,0)</f>
        <v>0.0391427839078216</v>
      </c>
      <c r="F36" s="15" t="n">
        <f aca="false">IFERROR(C36/SUM($C$33:$C$37),0)</f>
        <v>0.139927715470581</v>
      </c>
    </row>
    <row r="37" customFormat="false" ht="15" hidden="false" customHeight="false" outlineLevel="0" collapsed="false">
      <c r="B37" s="7" t="s">
        <v>98</v>
      </c>
      <c r="C37" s="27" t="n">
        <f aca="false">SUMIFS('Юнит-экономика'!$R$5:$R$40,'Юнит-экономика'!$D$5:$D$40,B37)*$C$21</f>
        <v>8229722.30389089</v>
      </c>
      <c r="D37" s="27" t="n">
        <f aca="false">SUMIFS('Юнит-экономика'!$S$5:$S$40,'Юнит-экономика'!$D$5:$D$40,B37)*$C$21</f>
        <v>-105219.37012177</v>
      </c>
      <c r="E37" s="15" t="n">
        <f aca="false">IFERROR(D37/C37,0)</f>
        <v>-0.0127852880372432</v>
      </c>
      <c r="F37" s="15" t="n">
        <f aca="false">IFERROR(C37/SUM($C$33:$C$37),0)</f>
        <v>0.102597518725196</v>
      </c>
    </row>
  </sheetData>
  <conditionalFormatting sqref="C16:N17">
    <cfRule type="cellIs" priority="2" operator="lessThan" aboveAverage="0" equalAverage="0" bottom="0" percent="0" rank="0" text="" dxfId="0">
      <formula>0</formula>
    </cfRule>
  </conditionalFormatting>
  <conditionalFormatting sqref="E26:E28">
    <cfRule type="colorScale" priority="3">
      <colorScale>
        <cfvo type="min" val="0"/>
        <cfvo type="max" val="0"/>
        <color rgb="FFF8CBAD"/>
        <color rgb="FFC6EFCE"/>
      </colorScale>
    </cfRule>
  </conditionalFormatting>
  <conditionalFormatting sqref="E33:E37">
    <cfRule type="colorScale" priority="4">
      <colorScale>
        <cfvo type="min" val="0"/>
        <cfvo type="max" val="0"/>
        <color rgb="FFF8CBAD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1" min="3" style="0" width="13"/>
  </cols>
  <sheetData>
    <row r="2" customFormat="false" ht="17.35" hidden="false" customHeight="false" outlineLevel="0" collapsed="false">
      <c r="B2" s="1" t="s">
        <v>149</v>
      </c>
    </row>
    <row r="3" customFormat="false" ht="15" hidden="false" customHeight="false" outlineLevel="0" collapsed="false">
      <c r="B3" s="5" t="s">
        <v>150</v>
      </c>
    </row>
    <row r="5" customFormat="false" ht="15" hidden="false" customHeight="false" outlineLevel="0" collapsed="false">
      <c r="B5" s="48" t="s">
        <v>151</v>
      </c>
      <c r="C5" s="49" t="n">
        <v>0.04</v>
      </c>
      <c r="D5" s="49" t="n">
        <v>0.06</v>
      </c>
      <c r="E5" s="49" t="n">
        <v>0.08</v>
      </c>
      <c r="F5" s="49" t="n">
        <v>0.1</v>
      </c>
      <c r="G5" s="49" t="n">
        <v>0.12</v>
      </c>
      <c r="H5" s="49" t="n">
        <v>0.14</v>
      </c>
      <c r="I5" s="49" t="n">
        <v>0.16</v>
      </c>
      <c r="J5" s="49" t="n">
        <v>0.18</v>
      </c>
      <c r="K5" s="49" t="n">
        <v>0.2</v>
      </c>
    </row>
    <row r="6" customFormat="false" ht="15" hidden="false" customHeight="false" outlineLevel="0" collapsed="false">
      <c r="B6" s="50" t="n">
        <v>-0.1</v>
      </c>
      <c r="C6" s="27" t="n">
        <f aca="false">SUMPRODUCT('Юнит-экономика'!$Q$5:$Q$40,'Юнит-экономика'!$T$5:$T$40*(1+$B6)*(1-'Юнит-экономика'!$U$5:$U$40-Допущения!$C$11-C$5)-'Юнит-экономика'!$F$5:$F$40-'Юнит-экономика'!$H$5:$H$40-'Юнит-экономика'!$I$5:$I$40)*'P&amp;L'!$C$21-Допущения!$C$12*12</f>
        <v>3219339.06060656</v>
      </c>
      <c r="D6" s="27" t="n">
        <f aca="false">SUMPRODUCT('Юнит-экономика'!$Q$5:$Q$40,'Юнит-экономика'!$T$5:$T$40*(1+$B6)*(1-'Юнит-экономика'!$U$5:$U$40-Допущения!$C$11-D$5)-'Юнит-экономика'!$F$5:$F$40-'Юнит-экономика'!$H$5:$H$40-'Юнит-экономика'!$I$5:$I$40)*'P&amp;L'!$C$21-Допущения!$C$12*12</f>
        <v>1775493.21218199</v>
      </c>
      <c r="E6" s="27" t="n">
        <f aca="false">SUMPRODUCT('Юнит-экономика'!$Q$5:$Q$40,'Юнит-экономика'!$T$5:$T$40*(1+$B6)*(1-'Юнит-экономика'!$U$5:$U$40-Допущения!$C$11-E$5)-'Юнит-экономика'!$F$5:$F$40-'Юнит-экономика'!$H$5:$H$40-'Юнит-экономика'!$I$5:$I$40)*'P&amp;L'!$C$21-Допущения!$C$12*12</f>
        <v>331647.363757426</v>
      </c>
      <c r="F6" s="27" t="n">
        <f aca="false">SUMPRODUCT('Юнит-экономика'!$Q$5:$Q$40,'Юнит-экономика'!$T$5:$T$40*(1+$B6)*(1-'Юнит-экономика'!$U$5:$U$40-Допущения!$C$11-F$5)-'Юнит-экономика'!$F$5:$F$40-'Юнит-экономика'!$H$5:$H$40-'Юнит-экономика'!$I$5:$I$40)*'P&amp;L'!$C$21-Допущения!$C$12*12</f>
        <v>-1112198.48466715</v>
      </c>
      <c r="G6" s="27" t="n">
        <f aca="false">SUMPRODUCT('Юнит-экономика'!$Q$5:$Q$40,'Юнит-экономика'!$T$5:$T$40*(1+$B6)*(1-'Юнит-экономика'!$U$5:$U$40-Допущения!$C$11-G$5)-'Юнит-экономика'!$F$5:$F$40-'Юнит-экономика'!$H$5:$H$40-'Юнит-экономика'!$I$5:$I$40)*'P&amp;L'!$C$21-Допущения!$C$12*12</f>
        <v>-2556044.33309172</v>
      </c>
      <c r="H6" s="27" t="n">
        <f aca="false">SUMPRODUCT('Юнит-экономика'!$Q$5:$Q$40,'Юнит-экономика'!$T$5:$T$40*(1+$B6)*(1-'Юнит-экономика'!$U$5:$U$40-Допущения!$C$11-H$5)-'Юнит-экономика'!$F$5:$F$40-'Юнит-экономика'!$H$5:$H$40-'Юнит-экономика'!$I$5:$I$40)*'P&amp;L'!$C$21-Допущения!$C$12*12</f>
        <v>-3999890.18151629</v>
      </c>
      <c r="I6" s="27" t="n">
        <f aca="false">SUMPRODUCT('Юнит-экономика'!$Q$5:$Q$40,'Юнит-экономика'!$T$5:$T$40*(1+$B6)*(1-'Юнит-экономика'!$U$5:$U$40-Допущения!$C$11-I$5)-'Юнит-экономика'!$F$5:$F$40-'Юнит-экономика'!$H$5:$H$40-'Юнит-экономика'!$I$5:$I$40)*'P&amp;L'!$C$21-Допущения!$C$12*12</f>
        <v>-5443736.02994086</v>
      </c>
      <c r="J6" s="27" t="n">
        <f aca="false">SUMPRODUCT('Юнит-экономика'!$Q$5:$Q$40,'Юнит-экономика'!$T$5:$T$40*(1+$B6)*(1-'Юнит-экономика'!$U$5:$U$40-Допущения!$C$11-J$5)-'Юнит-экономика'!$F$5:$F$40-'Юнит-экономика'!$H$5:$H$40-'Юнит-экономика'!$I$5:$I$40)*'P&amp;L'!$C$21-Допущения!$C$12*12</f>
        <v>-6887581.87836542</v>
      </c>
      <c r="K6" s="27" t="n">
        <f aca="false">SUMPRODUCT('Юнит-экономика'!$Q$5:$Q$40,'Юнит-экономика'!$T$5:$T$40*(1+$B6)*(1-'Юнит-экономика'!$U$5:$U$40-Допущения!$C$11-K$5)-'Юнит-экономика'!$F$5:$F$40-'Юнит-экономика'!$H$5:$H$40-'Юнит-экономика'!$I$5:$I$40)*'P&amp;L'!$C$21-Допущения!$C$12*12</f>
        <v>-8331427.72678999</v>
      </c>
    </row>
    <row r="7" customFormat="false" ht="15" hidden="false" customHeight="false" outlineLevel="0" collapsed="false">
      <c r="B7" s="50" t="n">
        <v>-0.05</v>
      </c>
      <c r="C7" s="27" t="n">
        <f aca="false">SUMPRODUCT('Юнит-экономика'!$Q$5:$Q$40,'Юнит-экономика'!$T$5:$T$40*(1+$B7)*(1-'Юнит-экономика'!$U$5:$U$40-Допущения!$C$11-C$5)-'Юнит-экономика'!$F$5:$F$40-'Юнит-экономика'!$H$5:$H$40-'Юнит-экономика'!$I$5:$I$40)*'P&amp;L'!$C$21-Допущения!$C$12*12</f>
        <v>6075189.29840532</v>
      </c>
      <c r="D7" s="27" t="n">
        <f aca="false">SUMPRODUCT('Юнит-экономика'!$Q$5:$Q$40,'Юнит-экономика'!$T$5:$T$40*(1+$B7)*(1-'Юнит-экономика'!$U$5:$U$40-Допущения!$C$11-D$5)-'Юнит-экономика'!$F$5:$F$40-'Юнит-экономика'!$H$5:$H$40-'Юнит-экономика'!$I$5:$I$40)*'P&amp;L'!$C$21-Допущения!$C$12*12</f>
        <v>4551129.79173493</v>
      </c>
      <c r="E7" s="27" t="n">
        <f aca="false">SUMPRODUCT('Юнит-экономика'!$Q$5:$Q$40,'Юнит-экономика'!$T$5:$T$40*(1+$B7)*(1-'Юнит-экономика'!$U$5:$U$40-Допущения!$C$11-E$5)-'Юнит-экономика'!$F$5:$F$40-'Юнит-экономика'!$H$5:$H$40-'Юнит-экономика'!$I$5:$I$40)*'P&amp;L'!$C$21-Допущения!$C$12*12</f>
        <v>3027070.28506456</v>
      </c>
      <c r="F7" s="27" t="n">
        <f aca="false">SUMPRODUCT('Юнит-экономика'!$Q$5:$Q$40,'Юнит-экономика'!$T$5:$T$40*(1+$B7)*(1-'Юнит-экономика'!$U$5:$U$40-Допущения!$C$11-F$5)-'Юнит-экономика'!$F$5:$F$40-'Юнит-экономика'!$H$5:$H$40-'Юнит-экономика'!$I$5:$I$40)*'P&amp;L'!$C$21-Допущения!$C$12*12</f>
        <v>1503010.77839418</v>
      </c>
      <c r="G7" s="27" t="n">
        <f aca="false">SUMPRODUCT('Юнит-экономика'!$Q$5:$Q$40,'Юнит-экономика'!$T$5:$T$40*(1+$B7)*(1-'Юнит-экономика'!$U$5:$U$40-Допущения!$C$11-G$5)-'Юнит-экономика'!$F$5:$F$40-'Юнит-экономика'!$H$5:$H$40-'Юнит-экономика'!$I$5:$I$40)*'P&amp;L'!$C$21-Допущения!$C$12*12</f>
        <v>-21048.7282761969</v>
      </c>
      <c r="H7" s="27" t="n">
        <f aca="false">SUMPRODUCT('Юнит-экономика'!$Q$5:$Q$40,'Юнит-экономика'!$T$5:$T$40*(1+$B7)*(1-'Юнит-экономика'!$U$5:$U$40-Допущения!$C$11-H$5)-'Юнит-экономика'!$F$5:$F$40-'Юнит-экономика'!$H$5:$H$40-'Юнит-экономика'!$I$5:$I$40)*'P&amp;L'!$C$21-Допущения!$C$12*12</f>
        <v>-1545108.23494658</v>
      </c>
      <c r="I7" s="27" t="n">
        <f aca="false">SUMPRODUCT('Юнит-экономика'!$Q$5:$Q$40,'Юнит-экономика'!$T$5:$T$40*(1+$B7)*(1-'Юнит-экономика'!$U$5:$U$40-Допущения!$C$11-I$5)-'Юнит-экономика'!$F$5:$F$40-'Юнит-экономика'!$H$5:$H$40-'Юнит-экономика'!$I$5:$I$40)*'P&amp;L'!$C$21-Допущения!$C$12*12</f>
        <v>-3069167.74161696</v>
      </c>
      <c r="J7" s="27" t="n">
        <f aca="false">SUMPRODUCT('Юнит-экономика'!$Q$5:$Q$40,'Юнит-экономика'!$T$5:$T$40*(1+$B7)*(1-'Юнит-экономика'!$U$5:$U$40-Допущения!$C$11-J$5)-'Юнит-экономика'!$F$5:$F$40-'Юнит-экономика'!$H$5:$H$40-'Юнит-экономика'!$I$5:$I$40)*'P&amp;L'!$C$21-Допущения!$C$12*12</f>
        <v>-4593227.24828733</v>
      </c>
      <c r="K7" s="27" t="n">
        <f aca="false">SUMPRODUCT('Юнит-экономика'!$Q$5:$Q$40,'Юнит-экономика'!$T$5:$T$40*(1+$B7)*(1-'Юнит-экономика'!$U$5:$U$40-Допущения!$C$11-K$5)-'Юнит-экономика'!$F$5:$F$40-'Юнит-экономика'!$H$5:$H$40-'Юнит-экономика'!$I$5:$I$40)*'P&amp;L'!$C$21-Допущения!$C$12*12</f>
        <v>-6117286.75495771</v>
      </c>
    </row>
    <row r="8" customFormat="false" ht="15" hidden="false" customHeight="false" outlineLevel="0" collapsed="false">
      <c r="B8" s="50" t="n">
        <v>0</v>
      </c>
      <c r="C8" s="27" t="n">
        <f aca="false">SUMPRODUCT('Юнит-экономика'!$Q$5:$Q$40,'Юнит-экономика'!$T$5:$T$40*(1+$B8)*(1-'Юнит-экономика'!$U$5:$U$40-Допущения!$C$11-C$5)-'Юнит-экономика'!$F$5:$F$40-'Юнит-экономика'!$H$5:$H$40-'Юнит-экономика'!$I$5:$I$40)*'P&amp;L'!$C$21-Допущения!$C$12*12</f>
        <v>8931039.53620407</v>
      </c>
      <c r="D8" s="27" t="n">
        <f aca="false">SUMPRODUCT('Юнит-экономика'!$Q$5:$Q$40,'Юнит-экономика'!$T$5:$T$40*(1+$B8)*(1-'Юнит-экономика'!$U$5:$U$40-Допущения!$C$11-D$5)-'Юнит-экономика'!$F$5:$F$40-'Юнит-экономика'!$H$5:$H$40-'Юнит-экономика'!$I$5:$I$40)*'P&amp;L'!$C$21-Допущения!$C$12*12</f>
        <v>7326766.37128788</v>
      </c>
      <c r="E8" s="27" t="n">
        <f aca="false">SUMPRODUCT('Юнит-экономика'!$Q$5:$Q$40,'Юнит-экономика'!$T$5:$T$40*(1+$B8)*(1-'Юнит-экономика'!$U$5:$U$40-Допущения!$C$11-E$5)-'Юнит-экономика'!$F$5:$F$40-'Юнит-экономика'!$H$5:$H$40-'Юнит-экономика'!$I$5:$I$40)*'P&amp;L'!$C$21-Допущения!$C$12*12</f>
        <v>5722493.2063717</v>
      </c>
      <c r="F8" s="27" t="n">
        <f aca="false">SUMPRODUCT('Юнит-экономика'!$Q$5:$Q$40,'Юнит-экономика'!$T$5:$T$40*(1+$B8)*(1-'Юнит-экономика'!$U$5:$U$40-Допущения!$C$11-F$5)-'Юнит-экономика'!$F$5:$F$40-'Юнит-экономика'!$H$5:$H$40-'Юнит-экономика'!$I$5:$I$40)*'P&amp;L'!$C$21-Допущения!$C$12*12</f>
        <v>4118220.04145551</v>
      </c>
      <c r="G8" s="27" t="n">
        <f aca="false">SUMPRODUCT('Юнит-экономика'!$Q$5:$Q$40,'Юнит-экономика'!$T$5:$T$40*(1+$B8)*(1-'Юнит-экономика'!$U$5:$U$40-Допущения!$C$11-G$5)-'Юнит-экономика'!$F$5:$F$40-'Юнит-экономика'!$H$5:$H$40-'Юнит-экономика'!$I$5:$I$40)*'P&amp;L'!$C$21-Допущения!$C$12*12</f>
        <v>2513946.87653932</v>
      </c>
      <c r="H8" s="27" t="n">
        <f aca="false">SUMPRODUCT('Юнит-экономика'!$Q$5:$Q$40,'Юнит-экономика'!$T$5:$T$40*(1+$B8)*(1-'Юнит-экономика'!$U$5:$U$40-Допущения!$C$11-H$5)-'Юнит-экономика'!$F$5:$F$40-'Юнит-экономика'!$H$5:$H$40-'Юнит-экономика'!$I$5:$I$40)*'P&amp;L'!$C$21-Допущения!$C$12*12</f>
        <v>909673.711623133</v>
      </c>
      <c r="I8" s="27" t="n">
        <f aca="false">SUMPRODUCT('Юнит-экономика'!$Q$5:$Q$40,'Юнит-экономика'!$T$5:$T$40*(1+$B8)*(1-'Юнит-экономика'!$U$5:$U$40-Допущения!$C$11-I$5)-'Юнит-экономика'!$F$5:$F$40-'Юнит-экономика'!$H$5:$H$40-'Юнит-экономика'!$I$5:$I$40)*'P&amp;L'!$C$21-Допущения!$C$12*12</f>
        <v>-694599.453293055</v>
      </c>
      <c r="J8" s="27" t="n">
        <f aca="false">SUMPRODUCT('Юнит-экономика'!$Q$5:$Q$40,'Юнит-экономика'!$T$5:$T$40*(1+$B8)*(1-'Юнит-экономика'!$U$5:$U$40-Допущения!$C$11-J$5)-'Юнит-экономика'!$F$5:$F$40-'Юнит-экономика'!$H$5:$H$40-'Юнит-экономика'!$I$5:$I$40)*'P&amp;L'!$C$21-Допущения!$C$12*12</f>
        <v>-2298872.61820924</v>
      </c>
      <c r="K8" s="27" t="n">
        <f aca="false">SUMPRODUCT('Юнит-экономика'!$Q$5:$Q$40,'Юнит-экономика'!$T$5:$T$40*(1+$B8)*(1-'Юнит-экономика'!$U$5:$U$40-Допущения!$C$11-K$5)-'Юнит-экономика'!$F$5:$F$40-'Юнит-экономика'!$H$5:$H$40-'Юнит-экономика'!$I$5:$I$40)*'P&amp;L'!$C$21-Допущения!$C$12*12</f>
        <v>-3903145.78312543</v>
      </c>
    </row>
    <row r="9" customFormat="false" ht="15" hidden="false" customHeight="false" outlineLevel="0" collapsed="false">
      <c r="B9" s="50" t="n">
        <v>0.05</v>
      </c>
      <c r="C9" s="27" t="n">
        <f aca="false">SUMPRODUCT('Юнит-экономика'!$Q$5:$Q$40,'Юнит-экономика'!$T$5:$T$40*(1+$B9)*(1-'Юнит-экономика'!$U$5:$U$40-Допущения!$C$11-C$5)-'Юнит-экономика'!$F$5:$F$40-'Юнит-экономика'!$H$5:$H$40-'Юнит-экономика'!$I$5:$I$40)*'P&amp;L'!$C$21-Допущения!$C$12*12</f>
        <v>11786889.7740028</v>
      </c>
      <c r="D9" s="27" t="n">
        <f aca="false">SUMPRODUCT('Юнит-экономика'!$Q$5:$Q$40,'Юнит-экономика'!$T$5:$T$40*(1+$B9)*(1-'Юнит-экономика'!$U$5:$U$40-Допущения!$C$11-D$5)-'Юнит-экономика'!$F$5:$F$40-'Юнит-экономика'!$H$5:$H$40-'Юнит-экономика'!$I$5:$I$40)*'P&amp;L'!$C$21-Допущения!$C$12*12</f>
        <v>10102402.9508408</v>
      </c>
      <c r="E9" s="27" t="n">
        <f aca="false">SUMPRODUCT('Юнит-экономика'!$Q$5:$Q$40,'Юнит-экономика'!$T$5:$T$40*(1+$B9)*(1-'Юнит-экономика'!$U$5:$U$40-Допущения!$C$11-E$5)-'Юнит-экономика'!$F$5:$F$40-'Юнит-экономика'!$H$5:$H$40-'Юнит-экономика'!$I$5:$I$40)*'P&amp;L'!$C$21-Допущения!$C$12*12</f>
        <v>8417916.12767884</v>
      </c>
      <c r="F9" s="27" t="n">
        <f aca="false">SUMPRODUCT('Юнит-экономика'!$Q$5:$Q$40,'Юнит-экономика'!$T$5:$T$40*(1+$B9)*(1-'Юнит-экономика'!$U$5:$U$40-Допущения!$C$11-F$5)-'Юнит-экономика'!$F$5:$F$40-'Юнит-экономика'!$H$5:$H$40-'Юнит-экономика'!$I$5:$I$40)*'P&amp;L'!$C$21-Допущения!$C$12*12</f>
        <v>6733429.30451684</v>
      </c>
      <c r="G9" s="27" t="n">
        <f aca="false">SUMPRODUCT('Юнит-экономика'!$Q$5:$Q$40,'Юнит-экономика'!$T$5:$T$40*(1+$B9)*(1-'Юнит-экономика'!$U$5:$U$40-Допущения!$C$11-G$5)-'Юнит-экономика'!$F$5:$F$40-'Юнит-экономика'!$H$5:$H$40-'Юнит-экономика'!$I$5:$I$40)*'P&amp;L'!$C$21-Допущения!$C$12*12</f>
        <v>5048942.48135484</v>
      </c>
      <c r="H9" s="27" t="n">
        <f aca="false">SUMPRODUCT('Юнит-экономика'!$Q$5:$Q$40,'Юнит-экономика'!$T$5:$T$40*(1+$B9)*(1-'Юнит-экономика'!$U$5:$U$40-Допущения!$C$11-H$5)-'Юнит-экономика'!$F$5:$F$40-'Юнит-экономика'!$H$5:$H$40-'Юнит-экономика'!$I$5:$I$40)*'P&amp;L'!$C$21-Допущения!$C$12*12</f>
        <v>3364455.65819285</v>
      </c>
      <c r="I9" s="27" t="n">
        <f aca="false">SUMPRODUCT('Юнит-экономика'!$Q$5:$Q$40,'Юнит-экономика'!$T$5:$T$40*(1+$B9)*(1-'Юнит-экономика'!$U$5:$U$40-Допущения!$C$11-I$5)-'Юнит-экономика'!$F$5:$F$40-'Юнит-экономика'!$H$5:$H$40-'Юнит-экономика'!$I$5:$I$40)*'P&amp;L'!$C$21-Допущения!$C$12*12</f>
        <v>1679968.83503085</v>
      </c>
      <c r="J9" s="27" t="n">
        <f aca="false">SUMPRODUCT('Юнит-экономика'!$Q$5:$Q$40,'Юнит-экономика'!$T$5:$T$40*(1+$B9)*(1-'Юнит-экономика'!$U$5:$U$40-Допущения!$C$11-J$5)-'Юнит-экономика'!$F$5:$F$40-'Юнит-экономика'!$H$5:$H$40-'Юнит-экономика'!$I$5:$I$40)*'P&amp;L'!$C$21-Допущения!$C$12*12</f>
        <v>-4517.98813114595</v>
      </c>
      <c r="K9" s="27" t="n">
        <f aca="false">SUMPRODUCT('Юнит-экономика'!$Q$5:$Q$40,'Юнит-экономика'!$T$5:$T$40*(1+$B9)*(1-'Юнит-экономика'!$U$5:$U$40-Допущения!$C$11-K$5)-'Юнит-экономика'!$F$5:$F$40-'Юнит-экономика'!$H$5:$H$40-'Юнит-экономика'!$I$5:$I$40)*'P&amp;L'!$C$21-Допущения!$C$12*12</f>
        <v>-1689004.81129315</v>
      </c>
    </row>
    <row r="10" customFormat="false" ht="15" hidden="false" customHeight="false" outlineLevel="0" collapsed="false">
      <c r="B10" s="50" t="n">
        <v>0.1</v>
      </c>
      <c r="C10" s="27" t="n">
        <f aca="false">SUMPRODUCT('Юнит-экономика'!$Q$5:$Q$40,'Юнит-экономика'!$T$5:$T$40*(1+$B10)*(1-'Юнит-экономика'!$U$5:$U$40-Допущения!$C$11-C$5)-'Юнит-экономика'!$F$5:$F$40-'Юнит-экономика'!$H$5:$H$40-'Юнит-экономика'!$I$5:$I$40)*'P&amp;L'!$C$21-Допущения!$C$12*12</f>
        <v>14642740.0118016</v>
      </c>
      <c r="D10" s="27" t="n">
        <f aca="false">SUMPRODUCT('Юнит-экономика'!$Q$5:$Q$40,'Юнит-экономика'!$T$5:$T$40*(1+$B10)*(1-'Юнит-экономика'!$U$5:$U$40-Допущения!$C$11-D$5)-'Юнит-экономика'!$F$5:$F$40-'Юнит-экономика'!$H$5:$H$40-'Юнит-экономика'!$I$5:$I$40)*'P&amp;L'!$C$21-Допущения!$C$12*12</f>
        <v>12878039.5303938</v>
      </c>
      <c r="E10" s="27" t="n">
        <f aca="false">SUMPRODUCT('Юнит-экономика'!$Q$5:$Q$40,'Юнит-экономика'!$T$5:$T$40*(1+$B10)*(1-'Юнит-экономика'!$U$5:$U$40-Допущения!$C$11-E$5)-'Юнит-экономика'!$F$5:$F$40-'Юнит-экономика'!$H$5:$H$40-'Юнит-экономика'!$I$5:$I$40)*'P&amp;L'!$C$21-Допущения!$C$12*12</f>
        <v>11113339.048986</v>
      </c>
      <c r="F10" s="27" t="n">
        <f aca="false">SUMPRODUCT('Юнит-экономика'!$Q$5:$Q$40,'Юнит-экономика'!$T$5:$T$40*(1+$B10)*(1-'Юнит-экономика'!$U$5:$U$40-Допущения!$C$11-F$5)-'Юнит-экономика'!$F$5:$F$40-'Юнит-экономика'!$H$5:$H$40-'Юнит-экономика'!$I$5:$I$40)*'P&amp;L'!$C$21-Допущения!$C$12*12</f>
        <v>9348638.56757818</v>
      </c>
      <c r="G10" s="27" t="n">
        <f aca="false">SUMPRODUCT('Юнит-экономика'!$Q$5:$Q$40,'Юнит-экономика'!$T$5:$T$40*(1+$B10)*(1-'Юнит-экономика'!$U$5:$U$40-Допущения!$C$11-G$5)-'Юнит-экономика'!$F$5:$F$40-'Юнит-экономика'!$H$5:$H$40-'Юнит-экономика'!$I$5:$I$40)*'P&amp;L'!$C$21-Допущения!$C$12*12</f>
        <v>7583938.08617037</v>
      </c>
      <c r="H10" s="27" t="n">
        <f aca="false">SUMPRODUCT('Юнит-экономика'!$Q$5:$Q$40,'Юнит-экономика'!$T$5:$T$40*(1+$B10)*(1-'Юнит-экономика'!$U$5:$U$40-Допущения!$C$11-H$5)-'Юнит-экономика'!$F$5:$F$40-'Юнит-экономика'!$H$5:$H$40-'Юнит-экономика'!$I$5:$I$40)*'P&amp;L'!$C$21-Допущения!$C$12*12</f>
        <v>5819237.60476256</v>
      </c>
      <c r="I10" s="27" t="n">
        <f aca="false">SUMPRODUCT('Юнит-экономика'!$Q$5:$Q$40,'Юнит-экономика'!$T$5:$T$40*(1+$B10)*(1-'Юнит-экономика'!$U$5:$U$40-Допущения!$C$11-I$5)-'Юнит-экономика'!$F$5:$F$40-'Юнит-экономика'!$H$5:$H$40-'Юнит-экономика'!$I$5:$I$40)*'P&amp;L'!$C$21-Допущения!$C$12*12</f>
        <v>4054537.12335475</v>
      </c>
      <c r="J10" s="27" t="n">
        <f aca="false">SUMPRODUCT('Юнит-экономика'!$Q$5:$Q$40,'Юнит-экономика'!$T$5:$T$40*(1+$B10)*(1-'Юнит-экономика'!$U$5:$U$40-Допущения!$C$11-J$5)-'Юнит-экономика'!$F$5:$F$40-'Юнит-экономика'!$H$5:$H$40-'Юнит-экономика'!$I$5:$I$40)*'P&amp;L'!$C$21-Допущения!$C$12*12</f>
        <v>2289836.64194695</v>
      </c>
      <c r="K10" s="27" t="n">
        <f aca="false">SUMPRODUCT('Юнит-экономика'!$Q$5:$Q$40,'Юнит-экономика'!$T$5:$T$40*(1+$B10)*(1-'Юнит-экономика'!$U$5:$U$40-Допущения!$C$11-K$5)-'Юнит-экономика'!$F$5:$F$40-'Юнит-экономика'!$H$5:$H$40-'Юнит-экономика'!$I$5:$I$40)*'P&amp;L'!$C$21-Допущения!$C$12*12</f>
        <v>525136.160539138</v>
      </c>
    </row>
    <row r="11" customFormat="false" ht="15" hidden="false" customHeight="false" outlineLevel="0" collapsed="false">
      <c r="B11" s="50" t="n">
        <v>0.15</v>
      </c>
      <c r="C11" s="27" t="n">
        <f aca="false">SUMPRODUCT('Юнит-экономика'!$Q$5:$Q$40,'Юнит-экономика'!$T$5:$T$40*(1+$B11)*(1-'Юнит-экономика'!$U$5:$U$40-Допущения!$C$11-C$5)-'Юнит-экономика'!$F$5:$F$40-'Юнит-экономика'!$H$5:$H$40-'Юнит-экономика'!$I$5:$I$40)*'P&amp;L'!$C$21-Допущения!$C$12*12</f>
        <v>17498590.2496003</v>
      </c>
      <c r="D11" s="27" t="n">
        <f aca="false">SUMPRODUCT('Юнит-экономика'!$Q$5:$Q$40,'Юнит-экономика'!$T$5:$T$40*(1+$B11)*(1-'Юнит-экономика'!$U$5:$U$40-Допущения!$C$11-D$5)-'Юнит-экономика'!$F$5:$F$40-'Юнит-экономика'!$H$5:$H$40-'Юнит-экономика'!$I$5:$I$40)*'P&amp;L'!$C$21-Допущения!$C$12*12</f>
        <v>15653676.1099467</v>
      </c>
      <c r="E11" s="27" t="n">
        <f aca="false">SUMPRODUCT('Юнит-экономика'!$Q$5:$Q$40,'Юнит-экономика'!$T$5:$T$40*(1+$B11)*(1-'Юнит-экономика'!$U$5:$U$40-Допущения!$C$11-E$5)-'Юнит-экономика'!$F$5:$F$40-'Юнит-экономика'!$H$5:$H$40-'Юнит-экономика'!$I$5:$I$40)*'P&amp;L'!$C$21-Допущения!$C$12*12</f>
        <v>13808761.9702931</v>
      </c>
      <c r="F11" s="27" t="n">
        <f aca="false">SUMPRODUCT('Юнит-экономика'!$Q$5:$Q$40,'Юнит-экономика'!$T$5:$T$40*(1+$B11)*(1-'Юнит-экономика'!$U$5:$U$40-Допущения!$C$11-F$5)-'Юнит-экономика'!$F$5:$F$40-'Юнит-экономика'!$H$5:$H$40-'Юнит-экономика'!$I$5:$I$40)*'P&amp;L'!$C$21-Допущения!$C$12*12</f>
        <v>11963847.8306395</v>
      </c>
      <c r="G11" s="27" t="n">
        <f aca="false">SUMPRODUCT('Юнит-экономика'!$Q$5:$Q$40,'Юнит-экономика'!$T$5:$T$40*(1+$B11)*(1-'Юнит-экономика'!$U$5:$U$40-Допущения!$C$11-G$5)-'Юнит-экономика'!$F$5:$F$40-'Юнит-экономика'!$H$5:$H$40-'Юнит-экономика'!$I$5:$I$40)*'P&amp;L'!$C$21-Допущения!$C$12*12</f>
        <v>10118933.6909859</v>
      </c>
      <c r="H11" s="27" t="n">
        <f aca="false">SUMPRODUCT('Юнит-экономика'!$Q$5:$Q$40,'Юнит-экономика'!$T$5:$T$40*(1+$B11)*(1-'Юнит-экономика'!$U$5:$U$40-Допущения!$C$11-H$5)-'Юнит-экономика'!$F$5:$F$40-'Юнит-экономика'!$H$5:$H$40-'Юнит-экономика'!$I$5:$I$40)*'P&amp;L'!$C$21-Допущения!$C$12*12</f>
        <v>8274019.55133226</v>
      </c>
      <c r="I11" s="27" t="n">
        <f aca="false">SUMPRODUCT('Юнит-экономика'!$Q$5:$Q$40,'Юнит-экономика'!$T$5:$T$40*(1+$B11)*(1-'Юнит-экономика'!$U$5:$U$40-Допущения!$C$11-I$5)-'Юнит-экономика'!$F$5:$F$40-'Юнит-экономика'!$H$5:$H$40-'Юнит-экономика'!$I$5:$I$40)*'P&amp;L'!$C$21-Допущения!$C$12*12</f>
        <v>6429105.41167864</v>
      </c>
      <c r="J11" s="27" t="n">
        <f aca="false">SUMPRODUCT('Юнит-экономика'!$Q$5:$Q$40,'Юнит-экономика'!$T$5:$T$40*(1+$B11)*(1-'Юнит-экономика'!$U$5:$U$40-Допущения!$C$11-J$5)-'Юнит-экономика'!$F$5:$F$40-'Юнит-экономика'!$H$5:$H$40-'Юнит-экономика'!$I$5:$I$40)*'P&amp;L'!$C$21-Допущения!$C$12*12</f>
        <v>4584191.27202503</v>
      </c>
      <c r="K11" s="27" t="n">
        <f aca="false">SUMPRODUCT('Юнит-экономика'!$Q$5:$Q$40,'Юнит-экономика'!$T$5:$T$40*(1+$B11)*(1-'Юнит-экономика'!$U$5:$U$40-Допущения!$C$11-K$5)-'Юнит-экономика'!$F$5:$F$40-'Юнит-экономика'!$H$5:$H$40-'Юнит-экономика'!$I$5:$I$40)*'P&amp;L'!$C$21-Допущения!$C$12*12</f>
        <v>2739277.13237141</v>
      </c>
    </row>
    <row r="13" customFormat="false" ht="15" hidden="false" customHeight="false" outlineLevel="0" collapsed="false">
      <c r="B13" s="7" t="s">
        <v>152</v>
      </c>
    </row>
    <row r="14" customFormat="false" ht="15" hidden="false" customHeight="false" outlineLevel="0" collapsed="false">
      <c r="B14" s="11" t="s">
        <v>153</v>
      </c>
    </row>
    <row r="16" customFormat="false" ht="15" hidden="false" customHeight="false" outlineLevel="0" collapsed="false">
      <c r="B16" s="11" t="s">
        <v>154</v>
      </c>
      <c r="F16" s="29" t="n">
        <f aca="false">G9-G8</f>
        <v>2534995.60481552</v>
      </c>
    </row>
    <row r="17" customFormat="false" ht="15" hidden="false" customHeight="false" outlineLevel="0" collapsed="false">
      <c r="B17" s="11" t="s">
        <v>155</v>
      </c>
      <c r="F17" s="29" t="n">
        <f aca="false">E8-G8</f>
        <v>3208546.32983238</v>
      </c>
    </row>
  </sheetData>
  <conditionalFormatting sqref="C6:K11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2026-10-21T10:06:17Z</dcterms:created>
  <dc:creator>openpyxl</dc:creator>
  <dc:description/>
  <dc:language>en-US</dc:language>
  <cp:lastModifiedBy/>
  <dcterms:modified xsi:type="dcterms:W3CDTF">2026-10-21T13:06:20Z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